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presas" sheetId="2" state="visible" r:id="rId2"/>
    <sheet xmlns:r="http://schemas.openxmlformats.org/officeDocument/2006/relationships" name="Listas" sheetId="3" state="visible" r:id="rId3"/>
  </sheets>
  <definedNames>
    <definedName name="_xlnm._FilterDatabase" localSheetId="1" hidden="1">'Empresas'!$A$1:$AB$131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portfolio.py</author>
  </authors>
  <commentList>
    <comment ref="A1" authorId="0" shapeId="0">
      <text>
        <t>Ordem no site: menor aparece primeiro. Use saltos de 10 para poder encaixar empresas no meio.</t>
      </text>
    </comment>
    <comment ref="B1" authorId="0" shapeId="0">
      <text>
        <t>x = aparece no site. Vazio = fica só na planilha.</t>
      </text>
    </comment>
    <comment ref="C1" authorId="0" shapeId="0">
      <text>
        <t>Número = aparece no carrossel da home, nessa ordem. Vazio = não aparece. Precisa de logo; sem site, o logo fica sem link.</t>
      </text>
    </comment>
    <comment ref="D1" authorId="0" shapeId="0">
      <text>
        <t>Nome usado na busca e no texto alternativo do logo.</t>
      </text>
    </comment>
    <comment ref="E1" authorId="0" shapeId="0">
      <text>
        <t>Opcional. Vazio = igual ao Nome.</t>
      </text>
    </comment>
    <comment ref="F1" authorId="0" shapeId="0">
      <text>
        <t>x = relação 'Fundação'. Pode marcar várias.</t>
      </text>
    </comment>
    <comment ref="G1" authorId="0" shapeId="0">
      <text>
        <t>x = relação 'Anjo'. Pode marcar várias.</t>
      </text>
    </comment>
    <comment ref="H1" authorId="0" shapeId="0">
      <text>
        <t>x = relação 'VC'. Pode marcar várias.</t>
      </text>
    </comment>
    <comment ref="I1" authorId="0" shapeId="0">
      <text>
        <t>x = relação 'Gestão'. Pode marcar várias.</t>
      </text>
    </comment>
    <comment ref="J1" authorId="0" shapeId="0">
      <text>
        <t>x = relação 'Conselho'. Pode marcar várias.</t>
      </text>
    </comment>
    <comment ref="K1" authorId="0" shapeId="0">
      <text>
        <t>x = relação 'Buscapé'. Pode marcar várias.</t>
      </text>
    </comment>
    <comment ref="L1" authorId="0" shapeId="0">
      <text>
        <t>Texto da relação no card. Vazio = gerado das colunas marcadas (ex.: 'Anjo · Conselho').</t>
      </text>
    </comment>
    <comment ref="M1" authorId="0" shapeId="0">
      <text>
        <t>Calculado. Só para conferência; o script ignora esta coluna.</t>
      </text>
    </comment>
    <comment ref="N1" authorId="0" shapeId="0">
      <text>
        <t>Segunda linha do card, ex.: 'Vendida à Visa'.</t>
      </text>
    </comment>
    <comment ref="O1" authorId="0" shapeId="0">
      <text>
        <t>Ano do início da relação.</t>
      </text>
    </comment>
    <comment ref="P1" authorId="0" shapeId="0">
      <text>
        <t>Texto no canto do card: Ativa, Saída, Encerrada, Adquirida · 2021, Listada na B3, US$ 1 bi · 2024...</t>
      </text>
    </comment>
    <comment ref="Q1" authorId="0" shapeId="0">
      <text>
        <t>x = teve exit (venda, fusão, saída da participação). Alimenta o filtro Saídas do portfólio.</t>
      </text>
    </comment>
    <comment ref="R1" authorId="0" shapeId="0">
      <text>
        <t>x = passou de US$ 1 bilhão de valor. Alimenta o filtro Acima de US$ 1 bi do portfólio.</t>
      </text>
    </comment>
    <comment ref="S1" authorId="0" shapeId="0">
      <text>
        <t>URL do site. Vazio = card sem link.</t>
      </text>
    </comment>
    <comment ref="T1" authorId="0" shapeId="0">
      <text>
        <t>Opcional. Perfis da empresa em outros sites (Crunchbase, Wikidata, LinkedIn), separados por ';'. Não aparecem no card: vão para os dados estruturados (sameAs), que ligam a empresa à mesma empresa nesses sites.</t>
      </text>
    </comment>
    <comment ref="U1" authorId="0" shapeId="0">
      <text>
        <t>Arquivo em assets/img/logos/. Vazio = mostra o nome em texto.</t>
      </text>
    </comment>
    <comment ref="V1" authorId="0" shapeId="0">
      <text>
        <t>Opcional. Segundo logo empilhado (ex.: Movile + iFood).</t>
      </text>
    </comment>
    <comment ref="W1" authorId="0" shapeId="0">
      <text>
        <t>Opcional. Texto mostrado antes do logo (ex.: Bcash). Sem logo, o nome já aparece em texto.</t>
      </text>
    </comment>
    <comment ref="X1" authorId="0" shapeId="0">
      <text>
        <t>Opcional. Textos alternativos separados por ';', na ordem dos logos. Vazio = Nome.</t>
      </text>
    </comment>
    <comment ref="Y1" authorId="0" shapeId="0">
      <text>
        <t>Link de uma matéria sobre a empresa.</t>
      </text>
    </comment>
    <comment ref="Z1" authorId="0" shapeId="0">
      <text>
        <t>Título exibido no card.</t>
      </text>
    </comment>
    <comment ref="AA1" authorId="0" shapeId="0">
      <text>
        <t>Ex.: 'Brazil Journal · jul 2021'.</t>
      </text>
    </comment>
    <comment ref="AB1" authorId="0" shapeId="0">
      <text>
        <t>Não vai para o 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Portfólio do site: fonte da verdade</t>
        </is>
      </c>
    </row>
    <row r="2">
      <c r="A2" t="inlineStr"/>
    </row>
    <row r="3">
      <c r="A3" t="inlineStr">
        <is>
          <t>Cada linha da aba Empresas é um card da página Portfólio. Edite aqui e depois peça ao Claude Code:</t>
        </is>
      </c>
    </row>
    <row r="4">
      <c r="A4" t="inlineStr">
        <is>
          <t xml:space="preserve">  "Atualize o site a partir da planilha do portfólio"  (roda: python3 scripts/portfolio.py build)</t>
        </is>
      </c>
    </row>
    <row r="5">
      <c r="A5" t="inlineStr"/>
    </row>
    <row r="6">
      <c r="A6" t="inlineStr">
        <is>
          <t>Prioridade: menor número aparece primeiro. Saltos de 10 deixam espaço para encaixar empresas.</t>
        </is>
      </c>
    </row>
    <row r="7">
      <c r="A7" t="inlineStr">
        <is>
          <t>Publicar: x = aparece no site. Tirar o x esconde a empresa sem apagar a linha.</t>
        </is>
      </c>
    </row>
    <row r="8">
      <c r="A8" t="inlineStr">
        <is>
          <t>Home: número = posição no carrossel de logos da home. Vazio = fora da home.</t>
        </is>
      </c>
    </row>
    <row r="9">
      <c r="A9" t="inlineStr">
        <is>
          <t>Relações (Fundação, Anjo, VC, Gestão, Conselho, Buscapé): marque x em quantas quiser.</t>
        </is>
      </c>
    </row>
    <row r="10">
      <c r="A10" t="inlineStr">
        <is>
          <t xml:space="preserve">  Elas definem os filtros e as contagens da página. O texto no card vem de Rótulo (opcional)</t>
        </is>
      </c>
    </row>
    <row r="11">
      <c r="A11" t="inlineStr">
        <is>
          <t xml:space="preserve">  ou, se vazio, é montado a partir das relações marcadas. A coluna Rótulo no site mostra o resultado.</t>
        </is>
      </c>
    </row>
    <row r="12">
      <c r="A12" t="inlineStr">
        <is>
          <t>Logo: nome do arquivo em assets/img/logos/. Para um logo novo, salve o arquivo lá (ex.: empresa.png) e escreva o nome aqui.</t>
        </is>
      </c>
    </row>
    <row r="13">
      <c r="A13" t="inlineStr">
        <is>
          <t>Matéria: link, título e fonte · data aparecem como destaque no card.</t>
        </is>
      </c>
    </row>
    <row r="14">
      <c r="A14" t="inlineStr">
        <is>
          <t>Saída e US$ 1 bi+: marque x. Alimentam os filtros Saídas e Acima de US$ 1 bi da página (combinam com as abas).</t>
        </is>
      </c>
    </row>
    <row r="15">
      <c r="A15" t="inlineStr">
        <is>
          <t>Perfis: links da empresa no Crunchbase, Wikidata ou LinkedIn, separados por ';'. Não aparecem no card;</t>
        </is>
      </c>
    </row>
    <row r="16">
      <c r="A16" t="inlineStr">
        <is>
          <t xml:space="preserve">  entram nos dados estruturados da página, para o Google e as IAs ligarem a empresa ao seu portfólio.</t>
        </is>
      </c>
    </row>
    <row r="17">
      <c r="A17" t="inlineStr">
        <is>
          <t>Observações internas não vão para o site.</t>
        </is>
      </c>
    </row>
    <row r="18">
      <c r="A18" t="inlineStr"/>
    </row>
    <row r="19">
      <c r="A19" t="inlineStr">
        <is>
          <t>Passe o mouse no cabeçalho de cada coluna para ver a explicação.</t>
        </is>
      </c>
    </row>
    <row r="20">
      <c r="A20" t="inlineStr">
        <is>
          <t>Não renomeie os cabeçalhos da aba Empresas: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3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26" customWidth="1" min="4" max="4"/>
    <col width="2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0" customWidth="1" min="12" max="12"/>
    <col width="30" customWidth="1" min="13" max="13"/>
    <col width="26" customWidth="1" min="14" max="14"/>
    <col width="8" customWidth="1" min="15" max="15"/>
    <col width="20" customWidth="1" min="16" max="16"/>
    <col width="8" customWidth="1" min="17" max="17"/>
    <col width="10" customWidth="1" min="18" max="18"/>
    <col width="34" customWidth="1" min="19" max="19"/>
    <col width="40" customWidth="1" min="20" max="20"/>
    <col width="17" customWidth="1" min="21" max="21"/>
    <col width="17" customWidth="1" min="22" max="22"/>
    <col width="16" customWidth="1" min="23" max="23"/>
    <col width="22" customWidth="1" min="24" max="24"/>
    <col width="34" customWidth="1" min="25" max="25"/>
    <col width="28" customWidth="1" min="26" max="26"/>
    <col width="22" customWidth="1" min="27" max="27"/>
    <col width="36" customWidth="1" min="28" max="28"/>
  </cols>
  <sheetData>
    <row r="1" ht="32" customHeight="1">
      <c r="A1" s="2" t="inlineStr">
        <is>
          <t>Prioridade</t>
        </is>
      </c>
      <c r="B1" s="2" t="inlineStr">
        <is>
          <t>Publicar</t>
        </is>
      </c>
      <c r="C1" s="2" t="inlineStr">
        <is>
          <t>Home</t>
        </is>
      </c>
      <c r="D1" s="3" t="inlineStr">
        <is>
          <t>Nome</t>
        </is>
      </c>
      <c r="E1" s="3" t="inlineStr">
        <is>
          <t>Nome no card</t>
        </is>
      </c>
      <c r="F1" s="4" t="inlineStr">
        <is>
          <t>Fundação</t>
        </is>
      </c>
      <c r="G1" s="4" t="inlineStr">
        <is>
          <t>Anjo</t>
        </is>
      </c>
      <c r="H1" s="4" t="inlineStr">
        <is>
          <t>VC</t>
        </is>
      </c>
      <c r="I1" s="4" t="inlineStr">
        <is>
          <t>Gestão</t>
        </is>
      </c>
      <c r="J1" s="4" t="inlineStr">
        <is>
          <t>Conselho</t>
        </is>
      </c>
      <c r="K1" s="4" t="inlineStr">
        <is>
          <t>Buscapé</t>
        </is>
      </c>
      <c r="L1" s="3" t="inlineStr">
        <is>
          <t>Rótulo (opcional)</t>
        </is>
      </c>
      <c r="M1" s="3" t="inlineStr">
        <is>
          <t>Rótulo no site</t>
        </is>
      </c>
      <c r="N1" s="3" t="inlineStr">
        <is>
          <t>Nota</t>
        </is>
      </c>
      <c r="O1" s="2" t="inlineStr">
        <is>
          <t>Ano</t>
        </is>
      </c>
      <c r="P1" s="3" t="inlineStr">
        <is>
          <t>Status</t>
        </is>
      </c>
      <c r="Q1" s="2" t="inlineStr">
        <is>
          <t>Saída</t>
        </is>
      </c>
      <c r="R1" s="2" t="inlineStr">
        <is>
          <t>US$ 1 bi+</t>
        </is>
      </c>
      <c r="S1" s="3" t="inlineStr">
        <is>
          <t>Site</t>
        </is>
      </c>
      <c r="T1" s="3" t="inlineStr">
        <is>
          <t>Perfis</t>
        </is>
      </c>
      <c r="U1" s="3" t="inlineStr">
        <is>
          <t>Logo</t>
        </is>
      </c>
      <c r="V1" s="3" t="inlineStr">
        <is>
          <t>Logo 2</t>
        </is>
      </c>
      <c r="W1" s="3" t="inlineStr">
        <is>
          <t>Logo em texto</t>
        </is>
      </c>
      <c r="X1" s="3" t="inlineStr">
        <is>
          <t>Alt dos logos</t>
        </is>
      </c>
      <c r="Y1" s="3" t="inlineStr">
        <is>
          <t>Matéria (link)</t>
        </is>
      </c>
      <c r="Z1" s="3" t="inlineStr">
        <is>
          <t>Matéria (título)</t>
        </is>
      </c>
      <c r="AA1" s="3" t="inlineStr">
        <is>
          <t>Matéria (fonte · data)</t>
        </is>
      </c>
      <c r="AB1" s="3" t="inlineStr">
        <is>
          <t>Observações internas</t>
        </is>
      </c>
    </row>
    <row r="2">
      <c r="A2" s="5" t="inlineStr">
        <is>
          <t>10</t>
        </is>
      </c>
      <c r="B2" s="5" t="inlineStr">
        <is>
          <t>x</t>
        </is>
      </c>
      <c r="C2" s="5" t="inlineStr">
        <is>
          <t>4</t>
        </is>
      </c>
      <c r="D2" t="inlineStr">
        <is>
          <t>Buscapé</t>
        </is>
      </c>
      <c r="E2" t="inlineStr"/>
      <c r="F2" s="5" t="inlineStr">
        <is>
          <t>x</t>
        </is>
      </c>
      <c r="G2" s="5" t="inlineStr"/>
      <c r="H2" s="5" t="inlineStr"/>
      <c r="I2" s="5" t="inlineStr">
        <is>
          <t>x</t>
        </is>
      </c>
      <c r="J2" s="5" t="inlineStr"/>
      <c r="K2" s="5" t="inlineStr"/>
      <c r="L2" t="inlineStr">
        <is>
          <t>Fundador e CEO · Pres. do conselho</t>
        </is>
      </c>
      <c r="M2" s="6">
        <f>IF(L2&lt;&gt;"",L2,_xlfn.TEXTJOIN(" · ",TRUE,IF(F2&lt;&gt;"","Fundador",""),IF(G2&lt;&gt;"","Anjo",""),IF(H2&lt;&gt;"","VC",""),IF(I2&lt;&gt;"","Gestão",""),IF(J2&lt;&gt;"","Conselho",""),IF(K2&lt;&gt;"","Buscapé","")))</f>
        <v/>
      </c>
      <c r="N2" t="inlineStr">
        <is>
          <t>Vendida à Naspers/Prosus</t>
        </is>
      </c>
      <c r="O2" s="5" t="inlineStr">
        <is>
          <t>1998</t>
        </is>
      </c>
      <c r="P2" t="inlineStr">
        <is>
          <t>US$ 374M · 2009</t>
        </is>
      </c>
      <c r="Q2" s="5" t="inlineStr">
        <is>
          <t>x</t>
        </is>
      </c>
      <c r="R2" s="5" t="inlineStr"/>
      <c r="S2" t="inlineStr">
        <is>
          <t>https://www.buscape.com.br</t>
        </is>
      </c>
      <c r="T2" t="inlineStr">
        <is>
          <t>https://www.crunchbase.com/organization/buscap-company</t>
        </is>
      </c>
      <c r="U2" t="inlineStr">
        <is>
          <t>buscape-2026.png</t>
        </is>
      </c>
      <c r="V2" t="inlineStr"/>
      <c r="W2" t="inlineStr"/>
      <c r="X2" t="inlineStr"/>
      <c r="Y2" t="inlineStr"/>
      <c r="Z2" t="inlineStr"/>
      <c r="AA2" t="inlineStr"/>
      <c r="AB2" t="inlineStr"/>
    </row>
    <row r="3">
      <c r="A3" s="5" t="inlineStr">
        <is>
          <t>20</t>
        </is>
      </c>
      <c r="B3" s="5" t="inlineStr">
        <is>
          <t>x</t>
        </is>
      </c>
      <c r="C3" s="5" t="inlineStr">
        <is>
          <t>5</t>
        </is>
      </c>
      <c r="D3" t="inlineStr">
        <is>
          <t>Pismo</t>
        </is>
      </c>
      <c r="E3" t="inlineStr"/>
      <c r="F3" s="5" t="inlineStr"/>
      <c r="G3" s="5" t="inlineStr"/>
      <c r="H3" s="5" t="inlineStr">
        <is>
          <t>x</t>
        </is>
      </c>
      <c r="I3" s="5" t="inlineStr"/>
      <c r="J3" s="5" t="inlineStr">
        <is>
          <t>x</t>
        </is>
      </c>
      <c r="K3" s="5" t="inlineStr"/>
      <c r="L3" t="inlineStr"/>
      <c r="M3" s="6">
        <f>IF(L3&lt;&gt;"",L3,_xlfn.TEXTJOIN(" · ",TRUE,IF(F3&lt;&gt;"","Fundador",""),IF(G3&lt;&gt;"","Anjo",""),IF(H3&lt;&gt;"","VC",""),IF(I3&lt;&gt;"","Gestão",""),IF(J3&lt;&gt;"","Conselho",""),IF(K3&lt;&gt;"","Buscapé","")))</f>
        <v/>
      </c>
      <c r="N3" t="inlineStr">
        <is>
          <t>Vendida à Visa</t>
        </is>
      </c>
      <c r="O3" s="5" t="inlineStr">
        <is>
          <t>2015</t>
        </is>
      </c>
      <c r="P3" t="inlineStr">
        <is>
          <t>US$ 1 bi · 2024</t>
        </is>
      </c>
      <c r="Q3" s="5" t="inlineStr">
        <is>
          <t>x</t>
        </is>
      </c>
      <c r="R3" s="5" t="inlineStr">
        <is>
          <t>x</t>
        </is>
      </c>
      <c r="S3" t="inlineStr">
        <is>
          <t>https://www.pismo.io/</t>
        </is>
      </c>
      <c r="T3" t="inlineStr">
        <is>
          <t>https://www.crunchbase.com/organization/pismo</t>
        </is>
      </c>
      <c r="U3" t="inlineStr">
        <is>
          <t>pismo.png</t>
        </is>
      </c>
      <c r="V3" t="inlineStr"/>
      <c r="W3" t="inlineStr"/>
      <c r="X3" t="inlineStr"/>
      <c r="Y3" t="inlineStr">
        <is>
          <t>https://fortune.com/2023/07/25/headline-brazil-pismo-visa/</t>
        </is>
      </c>
      <c r="Z3" t="inlineStr">
        <is>
          <t>How VC Headline notched a 30% stake in Brazil’s biggest startup acquisition in 5 years</t>
        </is>
      </c>
      <c r="AA3" t="inlineStr">
        <is>
          <t>Fortune · jul 2023</t>
        </is>
      </c>
      <c r="AB3" t="inlineStr"/>
    </row>
    <row r="4">
      <c r="A4" s="5" t="inlineStr">
        <is>
          <t>30</t>
        </is>
      </c>
      <c r="B4" s="5" t="inlineStr">
        <is>
          <t>x</t>
        </is>
      </c>
      <c r="C4" s="5" t="inlineStr">
        <is>
          <t>6</t>
        </is>
      </c>
      <c r="D4" t="inlineStr">
        <is>
          <t>Wellhub</t>
        </is>
      </c>
      <c r="E4" t="inlineStr"/>
      <c r="F4" s="5" t="inlineStr"/>
      <c r="G4" s="5" t="inlineStr">
        <is>
          <t>x</t>
        </is>
      </c>
      <c r="H4" s="5" t="inlineStr">
        <is>
          <t>x</t>
        </is>
      </c>
      <c r="I4" s="5" t="inlineStr"/>
      <c r="J4" s="5" t="inlineStr"/>
      <c r="K4" s="5" t="inlineStr"/>
      <c r="L4" t="inlineStr"/>
      <c r="M4" s="6">
        <f>IF(L4&lt;&gt;"",L4,_xlfn.TEXTJOIN(" · ",TRUE,IF(F4&lt;&gt;"","Fundador",""),IF(G4&lt;&gt;"","Anjo",""),IF(H4&lt;&gt;"","VC",""),IF(I4&lt;&gt;"","Gestão",""),IF(J4&lt;&gt;"","Conselho",""),IF(K4&lt;&gt;"","Buscapé","")))</f>
        <v/>
      </c>
      <c r="N4" t="inlineStr"/>
      <c r="O4" s="5" t="inlineStr">
        <is>
          <t>2013</t>
        </is>
      </c>
      <c r="P4" t="inlineStr">
        <is>
          <t>Ativa</t>
        </is>
      </c>
      <c r="Q4" s="5" t="inlineStr"/>
      <c r="R4" s="5" t="inlineStr">
        <is>
          <t>x</t>
        </is>
      </c>
      <c r="S4" t="inlineStr">
        <is>
          <t>https://wellhub.com/pt-br/</t>
        </is>
      </c>
      <c r="T4" t="inlineStr">
        <is>
          <t>https://www.crunchbase.com/organization/gympass</t>
        </is>
      </c>
      <c r="U4" t="inlineStr">
        <is>
          <t>wellhub.png</t>
        </is>
      </c>
      <c r="V4" t="inlineStr"/>
      <c r="W4" t="inlineStr"/>
      <c r="X4" t="inlineStr"/>
      <c r="Y4" t="inlineStr">
        <is>
          <t>https://www.youtube.com/watch?v=4v8VvLNtaxU</t>
        </is>
      </c>
      <c r="Z4" t="inlineStr">
        <is>
          <t>#Takeover | Romero Rodrigues &amp; Gympass: a startup brasileira que conquistou o mundo</t>
        </is>
      </c>
      <c r="AA4" t="inlineStr">
        <is>
          <t>Cubo Itaú · set 2020</t>
        </is>
      </c>
      <c r="AB4" t="inlineStr"/>
    </row>
    <row r="5">
      <c r="A5" s="5" t="inlineStr">
        <is>
          <t>40</t>
        </is>
      </c>
      <c r="B5" s="5" t="inlineStr">
        <is>
          <t>x</t>
        </is>
      </c>
      <c r="C5" s="5" t="inlineStr">
        <is>
          <t>7</t>
        </is>
      </c>
      <c r="D5" t="inlineStr">
        <is>
          <t>Wayfair</t>
        </is>
      </c>
      <c r="E5" t="inlineStr"/>
      <c r="F5" s="5" t="inlineStr"/>
      <c r="G5" s="5" t="inlineStr">
        <is>
          <t>x</t>
        </is>
      </c>
      <c r="H5" s="5" t="inlineStr"/>
      <c r="I5" s="5" t="inlineStr"/>
      <c r="J5" s="5" t="inlineStr">
        <is>
          <t>x</t>
        </is>
      </c>
      <c r="K5" s="5" t="inlineStr"/>
      <c r="L5" t="inlineStr"/>
      <c r="M5" s="6">
        <f>IF(L5&lt;&gt;"",L5,_xlfn.TEXTJOIN(" · ",TRUE,IF(F5&lt;&gt;"","Fundador",""),IF(G5&lt;&gt;"","Anjo",""),IF(H5&lt;&gt;"","VC",""),IF(I5&lt;&gt;"","Gestão",""),IF(J5&lt;&gt;"","Conselho",""),IF(K5&lt;&gt;"","Buscapé","")))</f>
        <v/>
      </c>
      <c r="N5" t="inlineStr"/>
      <c r="O5" s="5" t="inlineStr">
        <is>
          <t>2014</t>
        </is>
      </c>
      <c r="P5" t="inlineStr">
        <is>
          <t>Listada na NYSE</t>
        </is>
      </c>
      <c r="Q5" s="5" t="inlineStr"/>
      <c r="R5" s="5" t="inlineStr">
        <is>
          <t>x</t>
        </is>
      </c>
      <c r="S5" t="inlineStr">
        <is>
          <t>https://www.wayfair.com</t>
        </is>
      </c>
      <c r="T5" t="inlineStr">
        <is>
          <t>https://www.crunchbase.com/organization/wayfair</t>
        </is>
      </c>
      <c r="U5" t="inlineStr">
        <is>
          <t>wayfair.png</t>
        </is>
      </c>
      <c r="V5" t="inlineStr"/>
      <c r="W5" t="inlineStr"/>
      <c r="X5" t="inlineStr"/>
      <c r="Y5" t="inlineStr">
        <is>
          <t>https://www.prnewswire.com/news-releases/wayfair-names-romero-rodrigues-to-its-board-of-directors-269021721.html</t>
        </is>
      </c>
      <c r="Z5" t="inlineStr">
        <is>
          <t>Wayfair Names Romero Rodrigues to its Board of Directors</t>
        </is>
      </c>
      <c r="AA5" t="inlineStr">
        <is>
          <t>PR Newswire · jul 2014</t>
        </is>
      </c>
      <c r="AB5" t="inlineStr"/>
    </row>
    <row r="6">
      <c r="A6" s="5" t="inlineStr">
        <is>
          <t>50</t>
        </is>
      </c>
      <c r="B6" s="5" t="inlineStr">
        <is>
          <t>x</t>
        </is>
      </c>
      <c r="C6" s="5" t="inlineStr">
        <is>
          <t>8</t>
        </is>
      </c>
      <c r="D6" t="inlineStr">
        <is>
          <t>Olist</t>
        </is>
      </c>
      <c r="E6" t="inlineStr"/>
      <c r="F6" s="5" t="inlineStr"/>
      <c r="G6" s="5" t="inlineStr"/>
      <c r="H6" s="5" t="inlineStr">
        <is>
          <t>x</t>
        </is>
      </c>
      <c r="I6" s="5" t="inlineStr"/>
      <c r="J6" s="5" t="inlineStr">
        <is>
          <t>x</t>
        </is>
      </c>
      <c r="K6" s="5" t="inlineStr"/>
      <c r="L6" t="inlineStr"/>
      <c r="M6" s="6">
        <f>IF(L6&lt;&gt;"",L6,_xlfn.TEXTJOIN(" · ",TRUE,IF(F6&lt;&gt;"","Fundador",""),IF(G6&lt;&gt;"","Anjo",""),IF(H6&lt;&gt;"","VC",""),IF(I6&lt;&gt;"","Gestão",""),IF(J6&lt;&gt;"","Conselho",""),IF(K6&lt;&gt;"","Buscapé","")))</f>
        <v/>
      </c>
      <c r="N6" t="inlineStr"/>
      <c r="O6" s="5" t="inlineStr">
        <is>
          <t>2015</t>
        </is>
      </c>
      <c r="P6" t="inlineStr">
        <is>
          <t>Ativa</t>
        </is>
      </c>
      <c r="Q6" s="5" t="inlineStr"/>
      <c r="R6" s="5" t="inlineStr">
        <is>
          <t>x</t>
        </is>
      </c>
      <c r="S6" t="inlineStr">
        <is>
          <t>https://olist.com</t>
        </is>
      </c>
      <c r="T6" t="inlineStr">
        <is>
          <t>https://www.crunchbase.com/organization/olist</t>
        </is>
      </c>
      <c r="U6" t="inlineStr">
        <is>
          <t>olist.png</t>
        </is>
      </c>
      <c r="V6" t="inlineStr"/>
      <c r="W6" t="inlineStr"/>
      <c r="X6" t="inlineStr"/>
      <c r="Y6" t="inlineStr">
        <is>
          <t>https://www.gazetadopovo.com.br/economia/empreender-pme/fundo-do-fundador-do-buscape-compra-participacao-em-startup-curitibana-9wkf3luxsvvljmo3q7ujely4v/</t>
        </is>
      </c>
      <c r="Z6" t="inlineStr">
        <is>
          <t>Fundo do fundador do Buscapé compra participação em startup curitibana</t>
        </is>
      </c>
      <c r="AA6" t="inlineStr">
        <is>
          <t>Gazeta do Povo · ago 2016</t>
        </is>
      </c>
      <c r="AB6" t="inlineStr"/>
    </row>
    <row r="7">
      <c r="A7" s="5" t="inlineStr">
        <is>
          <t>60</t>
        </is>
      </c>
      <c r="B7" s="5" t="inlineStr">
        <is>
          <t>x</t>
        </is>
      </c>
      <c r="C7" s="5" t="inlineStr">
        <is>
          <t>9</t>
        </is>
      </c>
      <c r="D7" t="inlineStr">
        <is>
          <t>Hotmart</t>
        </is>
      </c>
      <c r="E7" t="inlineStr"/>
      <c r="F7" s="5" t="inlineStr"/>
      <c r="G7" s="5" t="inlineStr"/>
      <c r="H7" s="5" t="inlineStr"/>
      <c r="I7" s="5" t="inlineStr"/>
      <c r="J7" s="5" t="inlineStr"/>
      <c r="K7" s="5" t="inlineStr">
        <is>
          <t>x</t>
        </is>
      </c>
      <c r="L7" t="inlineStr"/>
      <c r="M7" s="6">
        <f>IF(L7&lt;&gt;"",L7,_xlfn.TEXTJOIN(" · ",TRUE,IF(F7&lt;&gt;"","Fundador",""),IF(G7&lt;&gt;"","Anjo",""),IF(H7&lt;&gt;"","VC",""),IF(I7&lt;&gt;"","Gestão",""),IF(J7&lt;&gt;"","Conselho",""),IF(K7&lt;&gt;"","Buscapé","")))</f>
        <v/>
      </c>
      <c r="N7" t="inlineStr"/>
      <c r="O7" s="5" t="inlineStr">
        <is>
          <t>2011</t>
        </is>
      </c>
      <c r="P7" t="inlineStr">
        <is>
          <t>Saída</t>
        </is>
      </c>
      <c r="Q7" s="5" t="inlineStr">
        <is>
          <t>x</t>
        </is>
      </c>
      <c r="R7" s="5" t="inlineStr">
        <is>
          <t>x</t>
        </is>
      </c>
      <c r="S7" t="inlineStr">
        <is>
          <t>https://hotmart.com/en</t>
        </is>
      </c>
      <c r="T7" t="inlineStr">
        <is>
          <t>https://www.crunchbase.com/organization/hotmart</t>
        </is>
      </c>
      <c r="U7" t="inlineStr">
        <is>
          <t>hotmart.png</t>
        </is>
      </c>
      <c r="V7" t="inlineStr"/>
      <c r="W7" t="inlineStr"/>
      <c r="X7" t="inlineStr"/>
      <c r="Y7" t="inlineStr">
        <is>
          <t>https://startupi.com.br/saiba-como-anda-a-vida-da-hotmart-mais-de-um-ano-depois-de-vencer-o-desafio-buscape/</t>
        </is>
      </c>
      <c r="Z7" t="inlineStr">
        <is>
          <t>Saiba como anda a vida da Hotmart mais de um ano depois de vencer o Desafio Buscapé</t>
        </is>
      </c>
      <c r="AA7" t="inlineStr">
        <is>
          <t>Startupi · fev 2013</t>
        </is>
      </c>
      <c r="AB7" t="inlineStr"/>
    </row>
    <row r="8">
      <c r="A8" s="5" t="inlineStr">
        <is>
          <t>70</t>
        </is>
      </c>
      <c r="B8" s="5" t="inlineStr">
        <is>
          <t>x</t>
        </is>
      </c>
      <c r="C8" s="5" t="inlineStr">
        <is>
          <t>10</t>
        </is>
      </c>
      <c r="D8" t="inlineStr">
        <is>
          <t>Headline Brasil</t>
        </is>
      </c>
      <c r="E8" t="inlineStr"/>
      <c r="F8" s="5" t="inlineStr"/>
      <c r="G8" s="5" t="inlineStr"/>
      <c r="H8" s="5" t="inlineStr"/>
      <c r="I8" s="5" t="inlineStr">
        <is>
          <t>x</t>
        </is>
      </c>
      <c r="J8" s="5" t="inlineStr"/>
      <c r="K8" s="5" t="inlineStr"/>
      <c r="L8" t="inlineStr">
        <is>
          <t>Sócio de gestora</t>
        </is>
      </c>
      <c r="M8" s="6">
        <f>IF(L8&lt;&gt;"",L8,_xlfn.TEXTJOIN(" · ",TRUE,IF(F8&lt;&gt;"","Fundador",""),IF(G8&lt;&gt;"","Anjo",""),IF(H8&lt;&gt;"","VC",""),IF(I8&lt;&gt;"","Gestão",""),IF(J8&lt;&gt;"","Conselho",""),IF(K8&lt;&gt;"","Buscapé","")))</f>
        <v/>
      </c>
      <c r="N8" t="inlineStr"/>
      <c r="O8" s="5" t="inlineStr">
        <is>
          <t>2021</t>
        </is>
      </c>
      <c r="P8" t="inlineStr"/>
      <c r="Q8" s="5" t="inlineStr"/>
      <c r="R8" s="5" t="inlineStr"/>
      <c r="S8" t="inlineStr">
        <is>
          <t>https://headline.com</t>
        </is>
      </c>
      <c r="T8" t="inlineStr">
        <is>
          <t>https://www.crunchbase.com/organization/headlinevc</t>
        </is>
      </c>
      <c r="U8" t="inlineStr">
        <is>
          <t>headline-brasil.png</t>
        </is>
      </c>
      <c r="V8" t="inlineStr"/>
      <c r="W8" t="inlineStr"/>
      <c r="X8" t="inlineStr"/>
      <c r="Y8" t="inlineStr">
        <is>
          <t>https://neofeed.com.br/startups/headline-a-nova-gestora-de-romero-rodrigues-para-investir-em-startups/</t>
        </is>
      </c>
      <c r="Z8" t="inlineStr">
        <is>
          <t>Headline, a nova gestora de Romero Rodrigues para investir em startups</t>
        </is>
      </c>
      <c r="AA8" t="inlineStr">
        <is>
          <t>NeoFeed · dez 2021</t>
        </is>
      </c>
      <c r="AB8" t="inlineStr"/>
    </row>
    <row r="9">
      <c r="A9" s="5" t="inlineStr">
        <is>
          <t>80</t>
        </is>
      </c>
      <c r="B9" s="5" t="inlineStr">
        <is>
          <t>x</t>
        </is>
      </c>
      <c r="C9" s="5" t="inlineStr">
        <is>
          <t>11</t>
        </is>
      </c>
      <c r="D9" t="inlineStr">
        <is>
          <t>Endeavor Brasil</t>
        </is>
      </c>
      <c r="E9" t="inlineStr"/>
      <c r="F9" s="5" t="inlineStr"/>
      <c r="G9" s="5" t="inlineStr"/>
      <c r="H9" s="5" t="inlineStr"/>
      <c r="I9" s="5" t="inlineStr"/>
      <c r="J9" s="5" t="inlineStr">
        <is>
          <t>x</t>
        </is>
      </c>
      <c r="K9" s="5" t="inlineStr"/>
      <c r="L9" t="inlineStr"/>
      <c r="M9" s="6">
        <f>IF(L9&lt;&gt;"",L9,_xlfn.TEXTJOIN(" · ",TRUE,IF(F9&lt;&gt;"","Fundador",""),IF(G9&lt;&gt;"","Anjo",""),IF(H9&lt;&gt;"","VC",""),IF(I9&lt;&gt;"","Gestão",""),IF(J9&lt;&gt;"","Conselho",""),IF(K9&lt;&gt;"","Buscapé","")))</f>
        <v/>
      </c>
      <c r="N9" t="inlineStr"/>
      <c r="O9" s="5" t="inlineStr">
        <is>
          <t>2012</t>
        </is>
      </c>
      <c r="P9" t="inlineStr"/>
      <c r="Q9" s="5" t="inlineStr"/>
      <c r="R9" s="5" t="inlineStr"/>
      <c r="S9" t="inlineStr">
        <is>
          <t>https://brasil.endeavor.org/</t>
        </is>
      </c>
      <c r="T9" t="inlineStr">
        <is>
          <t>https://www.crunchbase.com/organization/endeavor-brasil</t>
        </is>
      </c>
      <c r="U9" t="inlineStr">
        <is>
          <t>endeavor-brasil.png</t>
        </is>
      </c>
      <c r="V9" t="inlineStr"/>
      <c r="W9" t="inlineStr"/>
      <c r="X9" t="inlineStr"/>
      <c r="Y9" t="inlineStr">
        <is>
          <t>https://www.youtube.com/watch?v=TuSdKcgnNGA</t>
        </is>
      </c>
      <c r="Z9" t="inlineStr">
        <is>
          <t>Day1 | Acredite no impossível - Romero Rodrigues [Buscapé]</t>
        </is>
      </c>
      <c r="AA9" t="inlineStr">
        <is>
          <t>Endeavor Brasil · nov 2012</t>
        </is>
      </c>
      <c r="AB9" t="inlineStr"/>
    </row>
    <row r="10">
      <c r="A10" s="5" t="inlineStr">
        <is>
          <t>90</t>
        </is>
      </c>
      <c r="B10" s="5" t="inlineStr">
        <is>
          <t>x</t>
        </is>
      </c>
      <c r="C10" s="5" t="inlineStr">
        <is>
          <t>12</t>
        </is>
      </c>
      <c r="D10" t="inlineStr">
        <is>
          <t>TOTVS</t>
        </is>
      </c>
      <c r="E10" t="inlineStr"/>
      <c r="F10" s="5" t="inlineStr"/>
      <c r="G10" s="5" t="inlineStr"/>
      <c r="H10" s="5" t="inlineStr"/>
      <c r="I10" s="5" t="inlineStr"/>
      <c r="J10" s="5" t="inlineStr">
        <is>
          <t>x</t>
        </is>
      </c>
      <c r="K10" s="5" t="inlineStr"/>
      <c r="L10" t="inlineStr"/>
      <c r="M10" s="6">
        <f>IF(L10&lt;&gt;"",L10,_xlfn.TEXTJOIN(" · ",TRUE,IF(F10&lt;&gt;"","Fundador",""),IF(G10&lt;&gt;"","Anjo",""),IF(H10&lt;&gt;"","VC",""),IF(I10&lt;&gt;"","Gestão",""),IF(J10&lt;&gt;"","Conselho",""),IF(K10&lt;&gt;"","Buscapé","")))</f>
        <v/>
      </c>
      <c r="N10" t="inlineStr"/>
      <c r="O10" s="5" t="inlineStr">
        <is>
          <t>2014</t>
        </is>
      </c>
      <c r="P10" t="inlineStr">
        <is>
          <t>Listada na B3</t>
        </is>
      </c>
      <c r="Q10" s="5" t="inlineStr"/>
      <c r="R10" s="5" t="inlineStr"/>
      <c r="S10" t="inlineStr">
        <is>
          <t>https://www.totvs.com</t>
        </is>
      </c>
      <c r="T10" t="inlineStr">
        <is>
          <t>https://www.crunchbase.com/organization/totvs</t>
        </is>
      </c>
      <c r="U10" t="inlineStr">
        <is>
          <t>totvs.png</t>
        </is>
      </c>
      <c r="V10" t="inlineStr"/>
      <c r="W10" t="inlineStr"/>
      <c r="X10" t="inlineStr"/>
      <c r="Y10" t="inlineStr"/>
      <c r="Z10" t="inlineStr"/>
      <c r="AA10" t="inlineStr"/>
      <c r="AB10" t="inlineStr"/>
    </row>
    <row r="11">
      <c r="A11" s="5" t="inlineStr">
        <is>
          <t>100</t>
        </is>
      </c>
      <c r="B11" s="5" t="inlineStr">
        <is>
          <t>x</t>
        </is>
      </c>
      <c r="C11" s="5" t="inlineStr">
        <is>
          <t>13</t>
        </is>
      </c>
      <c r="D11" t="inlineStr">
        <is>
          <t>VTEX</t>
        </is>
      </c>
      <c r="E11" t="inlineStr"/>
      <c r="F11" s="5" t="inlineStr"/>
      <c r="G11" s="5" t="inlineStr">
        <is>
          <t>x</t>
        </is>
      </c>
      <c r="H11" s="5" t="inlineStr"/>
      <c r="I11" s="5" t="inlineStr"/>
      <c r="J11" s="5" t="inlineStr"/>
      <c r="K11" s="5" t="inlineStr">
        <is>
          <t>x</t>
        </is>
      </c>
      <c r="L11" t="inlineStr"/>
      <c r="M11" s="6">
        <f>IF(L11&lt;&gt;"",L11,_xlfn.TEXTJOIN(" · ",TRUE,IF(F11&lt;&gt;"","Fundador",""),IF(G11&lt;&gt;"","Anjo",""),IF(H11&lt;&gt;"","VC",""),IF(I11&lt;&gt;"","Gestão",""),IF(J11&lt;&gt;"","Conselho",""),IF(K11&lt;&gt;"","Buscapé","")))</f>
        <v/>
      </c>
      <c r="N11" t="inlineStr">
        <is>
          <t>Vendida a Riverwood</t>
        </is>
      </c>
      <c r="O11" s="5" t="inlineStr">
        <is>
          <t>2004</t>
        </is>
      </c>
      <c r="P11" t="inlineStr">
        <is>
          <t>Saída</t>
        </is>
      </c>
      <c r="Q11" s="5" t="inlineStr">
        <is>
          <t>x</t>
        </is>
      </c>
      <c r="R11" s="5" t="inlineStr">
        <is>
          <t>x</t>
        </is>
      </c>
      <c r="S11" t="inlineStr">
        <is>
          <t>https://www.vtex.com/en-us</t>
        </is>
      </c>
      <c r="T11" t="inlineStr">
        <is>
          <t>https://www.crunchbase.com/organization/vtex</t>
        </is>
      </c>
      <c r="U11" t="inlineStr">
        <is>
          <t>vtex.png</t>
        </is>
      </c>
      <c r="V11" t="inlineStr"/>
      <c r="W11" t="inlineStr"/>
      <c r="X11" t="inlineStr"/>
      <c r="Y11" t="inlineStr">
        <is>
          <t>https://fusoesaquisicoes.com/acontece-no-setor/riverwood-compra-participacao-na-vtex/</t>
        </is>
      </c>
      <c r="Z11" t="inlineStr">
        <is>
          <t>Riverwood compra participação na VTEX da Naspers</t>
        </is>
      </c>
      <c r="AA11" t="inlineStr">
        <is>
          <t>Fusões &amp; Aquisições · mar 2015</t>
        </is>
      </c>
      <c r="AB11" t="inlineStr"/>
    </row>
    <row r="12">
      <c r="A12" s="5" t="inlineStr">
        <is>
          <t>110</t>
        </is>
      </c>
      <c r="B12" s="5" t="inlineStr">
        <is>
          <t>x</t>
        </is>
      </c>
      <c r="C12" s="5" t="inlineStr">
        <is>
          <t>14</t>
        </is>
      </c>
      <c r="D12" t="inlineStr">
        <is>
          <t>Movile</t>
        </is>
      </c>
      <c r="E12" t="inlineStr">
        <is>
          <t>Movile · iFood</t>
        </is>
      </c>
      <c r="F12" s="5" t="inlineStr"/>
      <c r="G12" s="5" t="inlineStr">
        <is>
          <t>x</t>
        </is>
      </c>
      <c r="H12" s="5" t="inlineStr"/>
      <c r="I12" s="5" t="inlineStr"/>
      <c r="J12" s="5" t="inlineStr">
        <is>
          <t>x</t>
        </is>
      </c>
      <c r="K12" s="5" t="inlineStr"/>
      <c r="L12" t="inlineStr"/>
      <c r="M12" s="6">
        <f>IF(L12&lt;&gt;"",L12,_xlfn.TEXTJOIN(" · ",TRUE,IF(F12&lt;&gt;"","Fundador",""),IF(G12&lt;&gt;"","Anjo",""),IF(H12&lt;&gt;"","VC",""),IF(I12&lt;&gt;"","Gestão",""),IF(J12&lt;&gt;"","Conselho",""),IF(K12&lt;&gt;"","Buscapé","")))</f>
        <v/>
      </c>
      <c r="N12" t="inlineStr"/>
      <c r="O12" s="5" t="inlineStr">
        <is>
          <t>2010</t>
        </is>
      </c>
      <c r="P12" t="inlineStr">
        <is>
          <t>Ativa</t>
        </is>
      </c>
      <c r="Q12" s="5" t="inlineStr"/>
      <c r="R12" s="5" t="inlineStr">
        <is>
          <t>x</t>
        </is>
      </c>
      <c r="S12" t="inlineStr">
        <is>
          <t>https://www.ifood.com.br/</t>
        </is>
      </c>
      <c r="T12" t="inlineStr">
        <is>
          <t>https://www.crunchbase.com/organization/movile-latin-america</t>
        </is>
      </c>
      <c r="U12" t="inlineStr">
        <is>
          <t>movile.png</t>
        </is>
      </c>
      <c r="V12" t="inlineStr">
        <is>
          <t>ifood.png</t>
        </is>
      </c>
      <c r="W12" t="inlineStr"/>
      <c r="X12" t="inlineStr">
        <is>
          <t>Movile; iFood</t>
        </is>
      </c>
      <c r="Y12" t="inlineStr"/>
      <c r="Z12" t="inlineStr"/>
      <c r="AA12" t="inlineStr"/>
      <c r="AB12" t="inlineStr"/>
    </row>
    <row r="13">
      <c r="A13" s="5" t="inlineStr">
        <is>
          <t>120</t>
        </is>
      </c>
      <c r="B13" s="5" t="inlineStr">
        <is>
          <t>x</t>
        </is>
      </c>
      <c r="C13" s="5" t="inlineStr">
        <is>
          <t>15</t>
        </is>
      </c>
      <c r="D13" t="inlineStr">
        <is>
          <t>Rappi</t>
        </is>
      </c>
      <c r="E13" t="inlineStr"/>
      <c r="F13" s="5" t="inlineStr"/>
      <c r="G13" s="5" t="inlineStr"/>
      <c r="H13" s="5" t="inlineStr">
        <is>
          <t>x</t>
        </is>
      </c>
      <c r="I13" s="5" t="inlineStr"/>
      <c r="J13" s="5" t="inlineStr"/>
      <c r="K13" s="5" t="inlineStr"/>
      <c r="L13" t="inlineStr"/>
      <c r="M13" s="6">
        <f>IF(L13&lt;&gt;"",L13,_xlfn.TEXTJOIN(" · ",TRUE,IF(F13&lt;&gt;"","Fundador",""),IF(G13&lt;&gt;"","Anjo",""),IF(H13&lt;&gt;"","VC",""),IF(I13&lt;&gt;"","Gestão",""),IF(J13&lt;&gt;"","Conselho",""),IF(K13&lt;&gt;"","Buscapé","")))</f>
        <v/>
      </c>
      <c r="N13" t="inlineStr"/>
      <c r="O13" s="5" t="inlineStr"/>
      <c r="P13" t="inlineStr">
        <is>
          <t>Ativa</t>
        </is>
      </c>
      <c r="Q13" s="5" t="inlineStr"/>
      <c r="R13" s="5" t="inlineStr">
        <is>
          <t>x</t>
        </is>
      </c>
      <c r="S13" t="inlineStr">
        <is>
          <t>https://www.rappi.com.br</t>
        </is>
      </c>
      <c r="T13" t="inlineStr">
        <is>
          <t>https://www.crunchbase.com/organization/rappi</t>
        </is>
      </c>
      <c r="U13" t="inlineStr">
        <is>
          <t>rappi.png</t>
        </is>
      </c>
      <c r="V13" t="inlineStr"/>
      <c r="W13" t="inlineStr"/>
      <c r="X13" t="inlineStr"/>
      <c r="Y13" t="inlineStr">
        <is>
          <t>https://www.wsj.com/articles/colombian-delivery-service-rappi-raising-up-to-145-million-1516327946</t>
        </is>
      </c>
      <c r="Z13" t="inlineStr">
        <is>
          <t>Colombian Delivery Service Rappi Raising Up to $145 Million</t>
        </is>
      </c>
      <c r="AA13" t="inlineStr">
        <is>
          <t>Wall Street Journal · jan 2018</t>
        </is>
      </c>
      <c r="AB13" t="inlineStr"/>
    </row>
    <row r="14">
      <c r="A14" s="5" t="inlineStr">
        <is>
          <t>130</t>
        </is>
      </c>
      <c r="B14" s="5" t="inlineStr">
        <is>
          <t>x</t>
        </is>
      </c>
      <c r="C14" s="5" t="inlineStr">
        <is>
          <t>16</t>
        </is>
      </c>
      <c r="D14" t="inlineStr">
        <is>
          <t>Zup</t>
        </is>
      </c>
      <c r="E14" t="inlineStr"/>
      <c r="F14" s="5" t="inlineStr"/>
      <c r="G14" s="5" t="inlineStr">
        <is>
          <t>x</t>
        </is>
      </c>
      <c r="H14" s="5" t="inlineStr"/>
      <c r="I14" s="5" t="inlineStr"/>
      <c r="J14" s="5" t="inlineStr"/>
      <c r="K14" s="5" t="inlineStr"/>
      <c r="L14" t="inlineStr"/>
      <c r="M14" s="6">
        <f>IF(L14&lt;&gt;"",L14,_xlfn.TEXTJOIN(" · ",TRUE,IF(F14&lt;&gt;"","Fundador",""),IF(G14&lt;&gt;"","Anjo",""),IF(H14&lt;&gt;"","VC",""),IF(I14&lt;&gt;"","Gestão",""),IF(J14&lt;&gt;"","Conselho",""),IF(K14&lt;&gt;"","Buscapé","")))</f>
        <v/>
      </c>
      <c r="N14" t="inlineStr">
        <is>
          <t>Vendida ao Itaú</t>
        </is>
      </c>
      <c r="O14" s="5" t="inlineStr"/>
      <c r="P14" t="inlineStr">
        <is>
          <t>R$ 575M · 2019</t>
        </is>
      </c>
      <c r="Q14" s="5" t="inlineStr">
        <is>
          <t>x</t>
        </is>
      </c>
      <c r="R14" s="5" t="inlineStr"/>
      <c r="S14" t="inlineStr">
        <is>
          <t>https://zup.com.br/</t>
        </is>
      </c>
      <c r="T14" t="inlineStr">
        <is>
          <t>https://www.crunchbase.com/organization/zup-it-innovation</t>
        </is>
      </c>
      <c r="U14" t="inlineStr">
        <is>
          <t>zup.png</t>
        </is>
      </c>
      <c r="V14" t="inlineStr"/>
      <c r="W14" t="inlineStr"/>
      <c r="X14" t="inlineStr"/>
      <c r="Y14" t="inlineStr">
        <is>
          <t>https://valor.globo.com/financas/noticia/2019/10/31/ita-unibanco-compra-zup-servios-em-tecnologia-por-r-575-milhes.ghtml</t>
        </is>
      </c>
      <c r="Z14" t="inlineStr">
        <is>
          <t>Itaú Unibanco compra Zup Serviços em Tecnologia por R$ 575 milhões</t>
        </is>
      </c>
      <c r="AA14" t="inlineStr">
        <is>
          <t>Valor · out 2019</t>
        </is>
      </c>
      <c r="AB14" t="inlineStr"/>
    </row>
    <row r="15">
      <c r="A15" s="5" t="inlineStr">
        <is>
          <t>140</t>
        </is>
      </c>
      <c r="B15" s="5" t="inlineStr">
        <is>
          <t>x</t>
        </is>
      </c>
      <c r="C15" s="5" t="inlineStr">
        <is>
          <t>17</t>
        </is>
      </c>
      <c r="D15" t="inlineStr">
        <is>
          <t>Jive</t>
        </is>
      </c>
      <c r="E15" t="inlineStr"/>
      <c r="F15" s="5" t="inlineStr"/>
      <c r="G15" s="5" t="inlineStr">
        <is>
          <t>x</t>
        </is>
      </c>
      <c r="H15" s="5" t="inlineStr"/>
      <c r="I15" s="5" t="inlineStr"/>
      <c r="J15" s="5" t="inlineStr"/>
      <c r="K15" s="5" t="inlineStr"/>
      <c r="L15" t="inlineStr"/>
      <c r="M15" s="6">
        <f>IF(L15&lt;&gt;"",L15,_xlfn.TEXTJOIN(" · ",TRUE,IF(F15&lt;&gt;"","Fundador",""),IF(G15&lt;&gt;"","Anjo",""),IF(H15&lt;&gt;"","VC",""),IF(I15&lt;&gt;"","Gestão",""),IF(J15&lt;&gt;"","Conselho",""),IF(K15&lt;&gt;"","Buscapé","")))</f>
        <v/>
      </c>
      <c r="N15" t="inlineStr">
        <is>
          <t>Vendida à XP Inc.</t>
        </is>
      </c>
      <c r="O15" s="5" t="inlineStr">
        <is>
          <t>2010</t>
        </is>
      </c>
      <c r="P15" t="inlineStr">
        <is>
          <t>Adquirida · 2018</t>
        </is>
      </c>
      <c r="Q15" s="5" t="inlineStr">
        <is>
          <t>x</t>
        </is>
      </c>
      <c r="R15" s="5" t="inlineStr"/>
      <c r="S15" t="inlineStr">
        <is>
          <t>https://jivemaua.com.br:443/</t>
        </is>
      </c>
      <c r="T15" t="inlineStr">
        <is>
          <t>https://www.crunchbase.com/organization/jive-investments</t>
        </is>
      </c>
      <c r="U15" t="inlineStr">
        <is>
          <t>jive.png</t>
        </is>
      </c>
      <c r="V15" t="inlineStr"/>
      <c r="W15" t="inlineStr"/>
      <c r="X15" t="inlineStr"/>
      <c r="Y15" t="inlineStr">
        <is>
          <t>https://braziljournal.com/xp-compra-20-da-jive-uma-gestora-que-compra-e-resolve-problemas/</t>
        </is>
      </c>
      <c r="Z15" t="inlineStr">
        <is>
          <t>EXCLUSIVO: XP compra 20% da Jive, uma gestora que “compra e resolve problemas”</t>
        </is>
      </c>
      <c r="AA15" t="inlineStr">
        <is>
          <t>Brazil Journal · jun 2021</t>
        </is>
      </c>
      <c r="AB15" t="inlineStr"/>
    </row>
    <row r="16">
      <c r="A16" s="5" t="inlineStr">
        <is>
          <t>150</t>
        </is>
      </c>
      <c r="B16" s="5" t="inlineStr">
        <is>
          <t>x</t>
        </is>
      </c>
      <c r="C16" s="5" t="inlineStr">
        <is>
          <t>18</t>
        </is>
      </c>
      <c r="D16" t="inlineStr">
        <is>
          <t>Ascenty</t>
        </is>
      </c>
      <c r="E16" t="inlineStr"/>
      <c r="F16" s="5" t="inlineStr"/>
      <c r="G16" s="5" t="inlineStr">
        <is>
          <t>x</t>
        </is>
      </c>
      <c r="H16" s="5" t="inlineStr"/>
      <c r="I16" s="5" t="inlineStr"/>
      <c r="J16" s="5" t="inlineStr">
        <is>
          <t>x</t>
        </is>
      </c>
      <c r="K16" s="5" t="inlineStr"/>
      <c r="L16" t="inlineStr"/>
      <c r="M16" s="6">
        <f>IF(L16&lt;&gt;"",L16,_xlfn.TEXTJOIN(" · ",TRUE,IF(F16&lt;&gt;"","Fundador",""),IF(G16&lt;&gt;"","Anjo",""),IF(H16&lt;&gt;"","VC",""),IF(I16&lt;&gt;"","Gestão",""),IF(J16&lt;&gt;"","Conselho",""),IF(K16&lt;&gt;"","Buscapé","")))</f>
        <v/>
      </c>
      <c r="N16" t="inlineStr">
        <is>
          <t>Vendida a Digital Realty</t>
        </is>
      </c>
      <c r="O16" s="5" t="inlineStr">
        <is>
          <t>2013</t>
        </is>
      </c>
      <c r="P16" t="inlineStr">
        <is>
          <t>US$ 1,8 bi · 2018</t>
        </is>
      </c>
      <c r="Q16" s="5" t="inlineStr">
        <is>
          <t>x</t>
        </is>
      </c>
      <c r="R16" s="5" t="inlineStr">
        <is>
          <t>x</t>
        </is>
      </c>
      <c r="S16" t="inlineStr">
        <is>
          <t>https://ascenty.com/</t>
        </is>
      </c>
      <c r="T16" t="inlineStr">
        <is>
          <t>https://www.crunchbase.com/organization/ascenty</t>
        </is>
      </c>
      <c r="U16" t="inlineStr">
        <is>
          <t>ascenty.png</t>
        </is>
      </c>
      <c r="V16" t="inlineStr"/>
      <c r="W16" t="inlineStr"/>
      <c r="X16" t="inlineStr"/>
      <c r="Y16" t="inlineStr">
        <is>
          <t>https://www.digitalrealty.com/about/newsroom/press-releases/122893/digital-realty-to-acquire-ascenty</t>
        </is>
      </c>
      <c r="Z16" t="inlineStr">
        <is>
          <t>Digital Realty To Acquire Ascenty</t>
        </is>
      </c>
      <c r="AA16" t="inlineStr">
        <is>
          <t>Digital Realty · set 2018</t>
        </is>
      </c>
      <c r="AB16" t="inlineStr"/>
    </row>
    <row r="17">
      <c r="A17" s="5" t="inlineStr">
        <is>
          <t>160</t>
        </is>
      </c>
      <c r="B17" s="5" t="inlineStr">
        <is>
          <t>x</t>
        </is>
      </c>
      <c r="C17" s="5" t="inlineStr">
        <is>
          <t>19</t>
        </is>
      </c>
      <c r="D17" t="inlineStr">
        <is>
          <t>RecargaPay</t>
        </is>
      </c>
      <c r="E17" t="inlineStr"/>
      <c r="F17" s="5" t="inlineStr"/>
      <c r="G17" s="5" t="inlineStr">
        <is>
          <t>x</t>
        </is>
      </c>
      <c r="H17" s="5" t="inlineStr"/>
      <c r="I17" s="5" t="inlineStr"/>
      <c r="J17" s="5" t="inlineStr"/>
      <c r="K17" s="5" t="inlineStr"/>
      <c r="L17" t="inlineStr"/>
      <c r="M17" s="6">
        <f>IF(L17&lt;&gt;"",L17,_xlfn.TEXTJOIN(" · ",TRUE,IF(F17&lt;&gt;"","Fundador",""),IF(G17&lt;&gt;"","Anjo",""),IF(H17&lt;&gt;"","VC",""),IF(I17&lt;&gt;"","Gestão",""),IF(J17&lt;&gt;"","Conselho",""),IF(K17&lt;&gt;"","Buscapé","")))</f>
        <v/>
      </c>
      <c r="N17" t="inlineStr"/>
      <c r="O17" s="5" t="inlineStr"/>
      <c r="P17" t="inlineStr">
        <is>
          <t>Ativa</t>
        </is>
      </c>
      <c r="Q17" s="5" t="inlineStr"/>
      <c r="R17" s="5" t="inlineStr"/>
      <c r="S17" t="inlineStr">
        <is>
          <t>https://recargapay.com.br</t>
        </is>
      </c>
      <c r="T17" t="inlineStr">
        <is>
          <t>https://www.crunchbase.com/organization/recargapay</t>
        </is>
      </c>
      <c r="U17" t="inlineStr">
        <is>
          <t>recargapay.png</t>
        </is>
      </c>
      <c r="V17" t="inlineStr"/>
      <c r="W17" t="inlineStr"/>
      <c r="X17" t="inlineStr"/>
      <c r="Y17" t="inlineStr"/>
      <c r="Z17" t="inlineStr"/>
      <c r="AA17" t="inlineStr"/>
      <c r="AB17" t="inlineStr"/>
    </row>
    <row r="18">
      <c r="A18" s="5" t="inlineStr">
        <is>
          <t>170</t>
        </is>
      </c>
      <c r="B18" s="5" t="inlineStr">
        <is>
          <t>x</t>
        </is>
      </c>
      <c r="C18" s="5" t="inlineStr">
        <is>
          <t>20</t>
        </is>
      </c>
      <c r="D18" t="inlineStr">
        <is>
          <t>Naspers / Prosus</t>
        </is>
      </c>
      <c r="E18" t="inlineStr"/>
      <c r="F18" s="5" t="inlineStr"/>
      <c r="G18" s="5" t="inlineStr"/>
      <c r="H18" s="5" t="inlineStr"/>
      <c r="I18" s="5" t="inlineStr">
        <is>
          <t>x</t>
        </is>
      </c>
      <c r="J18" s="5" t="inlineStr"/>
      <c r="K18" s="5" t="inlineStr"/>
      <c r="L18" t="inlineStr"/>
      <c r="M18" s="6">
        <f>IF(L18&lt;&gt;"",L18,_xlfn.TEXTJOIN(" · ",TRUE,IF(F18&lt;&gt;"","Fundador",""),IF(G18&lt;&gt;"","Anjo",""),IF(H18&lt;&gt;"","VC",""),IF(I18&lt;&gt;"","Gestão",""),IF(J18&lt;&gt;"","Conselho",""),IF(K18&lt;&gt;"","Buscapé","")))</f>
        <v/>
      </c>
      <c r="N18" t="inlineStr"/>
      <c r="O18" s="5" t="inlineStr">
        <is>
          <t>2014</t>
        </is>
      </c>
      <c r="P18" t="inlineStr"/>
      <c r="Q18" s="5" t="inlineStr"/>
      <c r="R18" s="5" t="inlineStr"/>
      <c r="S18" t="inlineStr">
        <is>
          <t>https://www.prosus.com</t>
        </is>
      </c>
      <c r="T18" t="inlineStr">
        <is>
          <t>https://www.crunchbase.com/organization/naspers</t>
        </is>
      </c>
      <c r="U18" t="inlineStr">
        <is>
          <t>naspers-prosus.png</t>
        </is>
      </c>
      <c r="V18" t="inlineStr"/>
      <c r="W18" t="inlineStr"/>
      <c r="X18" t="inlineStr"/>
      <c r="Y18" t="inlineStr"/>
      <c r="Z18" t="inlineStr"/>
      <c r="AA18" t="inlineStr"/>
      <c r="AB18" t="inlineStr"/>
    </row>
    <row r="19">
      <c r="A19" s="5" t="inlineStr">
        <is>
          <t>180</t>
        </is>
      </c>
      <c r="B19" s="5" t="inlineStr">
        <is>
          <t>x</t>
        </is>
      </c>
      <c r="C19" s="5" t="inlineStr">
        <is>
          <t>21</t>
        </is>
      </c>
      <c r="D19" t="inlineStr">
        <is>
          <t>NeoGrid</t>
        </is>
      </c>
      <c r="E19" t="inlineStr"/>
      <c r="F19" s="5" t="inlineStr"/>
      <c r="G19" s="5" t="inlineStr"/>
      <c r="H19" s="5" t="inlineStr"/>
      <c r="I19" s="5" t="inlineStr"/>
      <c r="J19" s="5" t="inlineStr">
        <is>
          <t>x</t>
        </is>
      </c>
      <c r="K19" s="5" t="inlineStr"/>
      <c r="L19" t="inlineStr"/>
      <c r="M19" s="6">
        <f>IF(L19&lt;&gt;"",L19,_xlfn.TEXTJOIN(" · ",TRUE,IF(F19&lt;&gt;"","Fundador",""),IF(G19&lt;&gt;"","Anjo",""),IF(H19&lt;&gt;"","VC",""),IF(I19&lt;&gt;"","Gestão",""),IF(J19&lt;&gt;"","Conselho",""),IF(K19&lt;&gt;"","Buscapé","")))</f>
        <v/>
      </c>
      <c r="N19" t="inlineStr"/>
      <c r="O19" s="5" t="inlineStr">
        <is>
          <t>2013</t>
        </is>
      </c>
      <c r="P19" t="inlineStr">
        <is>
          <t>Listada na B3</t>
        </is>
      </c>
      <c r="Q19" s="5" t="inlineStr"/>
      <c r="R19" s="5" t="inlineStr"/>
      <c r="S19" t="inlineStr">
        <is>
          <t>https://neogrid.com</t>
        </is>
      </c>
      <c r="T19" t="inlineStr">
        <is>
          <t>https://www.crunchbase.com/organization/neogrid</t>
        </is>
      </c>
      <c r="U19" t="inlineStr">
        <is>
          <t>neogrid.png</t>
        </is>
      </c>
      <c r="V19" t="inlineStr"/>
      <c r="W19" t="inlineStr"/>
      <c r="X19" t="inlineStr"/>
      <c r="Y19" t="inlineStr"/>
      <c r="Z19" t="inlineStr"/>
      <c r="AA19" t="inlineStr"/>
      <c r="AB19" t="inlineStr"/>
    </row>
    <row r="20">
      <c r="A20" s="5" t="inlineStr">
        <is>
          <t>190</t>
        </is>
      </c>
      <c r="B20" s="5" t="inlineStr">
        <is>
          <t>x</t>
        </is>
      </c>
      <c r="C20" s="5" t="inlineStr">
        <is>
          <t>22</t>
        </is>
      </c>
      <c r="D20" t="inlineStr">
        <is>
          <t>Viagogo</t>
        </is>
      </c>
      <c r="E20" t="inlineStr"/>
      <c r="F20" s="5" t="inlineStr"/>
      <c r="G20" s="5" t="inlineStr">
        <is>
          <t>x</t>
        </is>
      </c>
      <c r="H20" s="5" t="inlineStr"/>
      <c r="I20" s="5" t="inlineStr"/>
      <c r="J20" s="5" t="inlineStr"/>
      <c r="K20" s="5" t="inlineStr"/>
      <c r="L20" t="inlineStr"/>
      <c r="M20" s="6">
        <f>IF(L20&lt;&gt;"",L20,_xlfn.TEXTJOIN(" · ",TRUE,IF(F20&lt;&gt;"","Fundador",""),IF(G20&lt;&gt;"","Anjo",""),IF(H20&lt;&gt;"","VC",""),IF(I20&lt;&gt;"","Gestão",""),IF(J20&lt;&gt;"","Conselho",""),IF(K20&lt;&gt;"","Buscapé","")))</f>
        <v/>
      </c>
      <c r="N20" t="inlineStr"/>
      <c r="O20" s="5" t="inlineStr"/>
      <c r="P20" t="inlineStr">
        <is>
          <t>Ativa</t>
        </is>
      </c>
      <c r="Q20" s="5" t="inlineStr"/>
      <c r="R20" s="5" t="inlineStr"/>
      <c r="S20" t="inlineStr">
        <is>
          <t>https://www.viagogo.com/</t>
        </is>
      </c>
      <c r="T20" t="inlineStr">
        <is>
          <t>https://www.crunchbase.com/organization/viagogo</t>
        </is>
      </c>
      <c r="U20" t="inlineStr">
        <is>
          <t>viagogo.png</t>
        </is>
      </c>
      <c r="V20" t="inlineStr"/>
      <c r="W20" t="inlineStr"/>
      <c r="X20" t="inlineStr"/>
      <c r="Y20" t="inlineStr"/>
      <c r="Z20" t="inlineStr"/>
      <c r="AA20" t="inlineStr"/>
      <c r="AB20" t="inlineStr"/>
    </row>
    <row r="21">
      <c r="A21" s="5" t="inlineStr">
        <is>
          <t>200</t>
        </is>
      </c>
      <c r="B21" s="5" t="inlineStr">
        <is>
          <t>x</t>
        </is>
      </c>
      <c r="C21" s="5" t="inlineStr">
        <is>
          <t>1</t>
        </is>
      </c>
      <c r="D21" t="inlineStr">
        <is>
          <t>ABC da Construção</t>
        </is>
      </c>
      <c r="E21" t="inlineStr"/>
      <c r="F21" s="5" t="inlineStr"/>
      <c r="G21" s="5" t="inlineStr"/>
      <c r="H21" s="5" t="inlineStr">
        <is>
          <t>x</t>
        </is>
      </c>
      <c r="I21" s="5" t="inlineStr"/>
      <c r="J21" s="5" t="inlineStr"/>
      <c r="K21" s="5" t="inlineStr"/>
      <c r="L21" t="inlineStr"/>
      <c r="M21" s="6">
        <f>IF(L21&lt;&gt;"",L21,_xlfn.TEXTJOIN(" · ",TRUE,IF(F21&lt;&gt;"","Fundador",""),IF(G21&lt;&gt;"","Anjo",""),IF(H21&lt;&gt;"","VC",""),IF(I21&lt;&gt;"","Gestão",""),IF(J21&lt;&gt;"","Conselho",""),IF(K21&lt;&gt;"","Buscapé","")))</f>
        <v/>
      </c>
      <c r="N21" t="inlineStr"/>
      <c r="O21" s="5" t="inlineStr">
        <is>
          <t>2019</t>
        </is>
      </c>
      <c r="P21" t="inlineStr">
        <is>
          <t>Ativa</t>
        </is>
      </c>
      <c r="Q21" s="5" t="inlineStr"/>
      <c r="R21" s="5" t="inlineStr"/>
      <c r="S21" t="inlineStr">
        <is>
          <t>https://www.abcdaconstrucao.com.br/</t>
        </is>
      </c>
      <c r="T21" t="inlineStr">
        <is>
          <t>https://www.crunchbase.com/organization/abc-da-constru%C3%A7%C3%A3o</t>
        </is>
      </c>
      <c r="U21" t="inlineStr">
        <is>
          <t>abc-da-construcao.png</t>
        </is>
      </c>
      <c r="V21" t="inlineStr"/>
      <c r="W21" t="inlineStr"/>
      <c r="X21" t="inlineStr"/>
      <c r="Y21" t="inlineStr"/>
      <c r="Z21" t="inlineStr"/>
      <c r="AA21" t="inlineStr"/>
      <c r="AB21" t="inlineStr"/>
    </row>
    <row r="22">
      <c r="A22" s="5" t="inlineStr">
        <is>
          <t>210</t>
        </is>
      </c>
      <c r="B22" s="5" t="inlineStr">
        <is>
          <t>x</t>
        </is>
      </c>
      <c r="C22" s="5" t="inlineStr"/>
      <c r="D22" t="inlineStr">
        <is>
          <t>Blips</t>
        </is>
      </c>
      <c r="E22" t="inlineStr"/>
      <c r="F22" s="5" t="inlineStr"/>
      <c r="G22" s="5" t="inlineStr"/>
      <c r="H22" s="5" t="inlineStr">
        <is>
          <t>x</t>
        </is>
      </c>
      <c r="I22" s="5" t="inlineStr"/>
      <c r="J22" s="5" t="inlineStr"/>
      <c r="K22" s="5" t="inlineStr"/>
      <c r="L22" t="inlineStr"/>
      <c r="M22" s="6">
        <f>IF(L22&lt;&gt;"",L22,_xlfn.TEXTJOIN(" · ",TRUE,IF(F22&lt;&gt;"","Fundador",""),IF(G22&lt;&gt;"","Anjo",""),IF(H22&lt;&gt;"","VC",""),IF(I22&lt;&gt;"","Gestão",""),IF(J22&lt;&gt;"","Conselho",""),IF(K22&lt;&gt;"","Buscapé","")))</f>
        <v/>
      </c>
      <c r="N22" t="inlineStr"/>
      <c r="O22" s="5" t="inlineStr">
        <is>
          <t>2024</t>
        </is>
      </c>
      <c r="P22" t="inlineStr">
        <is>
          <t>Ativa</t>
        </is>
      </c>
      <c r="Q22" s="5" t="inlineStr"/>
      <c r="R22" s="5" t="inlineStr"/>
      <c r="S22" t="inlineStr">
        <is>
          <t>https://www.blips.com.br</t>
        </is>
      </c>
      <c r="T22" t="inlineStr">
        <is>
          <t>https://www.crunchbase.com/organization/blips</t>
        </is>
      </c>
      <c r="U22" t="inlineStr">
        <is>
          <t>blips.png</t>
        </is>
      </c>
      <c r="V22" t="inlineStr"/>
      <c r="W22" t="inlineStr"/>
      <c r="X22" t="inlineStr"/>
      <c r="Y22" t="inlineStr">
        <is>
          <t>https://braziljournal.com/headline-avalia-a-blips-em-r-500-milhoes/</t>
        </is>
      </c>
      <c r="Z22" t="inlineStr">
        <is>
          <t>Headline avalia a Blips em R$ 500 milhões</t>
        </is>
      </c>
      <c r="AA22" t="inlineStr">
        <is>
          <t>Brazil Journal · mai 2025</t>
        </is>
      </c>
      <c r="AB22" t="inlineStr"/>
    </row>
    <row r="23">
      <c r="A23" s="5" t="inlineStr">
        <is>
          <t>220</t>
        </is>
      </c>
      <c r="B23" s="5" t="inlineStr">
        <is>
          <t>x</t>
        </is>
      </c>
      <c r="C23" s="5" t="inlineStr"/>
      <c r="D23" t="inlineStr">
        <is>
          <t>Avenia</t>
        </is>
      </c>
      <c r="E23" t="inlineStr"/>
      <c r="F23" s="5" t="inlineStr"/>
      <c r="G23" s="5" t="inlineStr"/>
      <c r="H23" s="5" t="inlineStr">
        <is>
          <t>x</t>
        </is>
      </c>
      <c r="I23" s="5" t="inlineStr"/>
      <c r="J23" s="5" t="inlineStr"/>
      <c r="K23" s="5" t="inlineStr"/>
      <c r="L23" t="inlineStr"/>
      <c r="M23" s="6">
        <f>IF(L23&lt;&gt;"",L23,_xlfn.TEXTJOIN(" · ",TRUE,IF(F23&lt;&gt;"","Fundador",""),IF(G23&lt;&gt;"","Anjo",""),IF(H23&lt;&gt;"","VC",""),IF(I23&lt;&gt;"","Gestão",""),IF(J23&lt;&gt;"","Conselho",""),IF(K23&lt;&gt;"","Buscapé","")))</f>
        <v/>
      </c>
      <c r="N23" t="inlineStr"/>
      <c r="O23" s="5" t="inlineStr">
        <is>
          <t>2026</t>
        </is>
      </c>
      <c r="P23" t="inlineStr">
        <is>
          <t>Ativa</t>
        </is>
      </c>
      <c r="Q23" s="5" t="inlineStr"/>
      <c r="R23" s="5" t="inlineStr"/>
      <c r="S23" t="inlineStr">
        <is>
          <t>https://avenia.io</t>
        </is>
      </c>
      <c r="T23" t="inlineStr">
        <is>
          <t>https://www.crunchbase.com/organization/brla-digital</t>
        </is>
      </c>
      <c r="U23" t="inlineStr">
        <is>
          <t>avenia.png</t>
        </is>
      </c>
      <c r="V23" t="inlineStr"/>
      <c r="W23" t="inlineStr"/>
      <c r="X23" t="inlineStr"/>
      <c r="Y23" t="inlineStr">
        <is>
          <t>https://braziljournal.com/swift-killer-a-rodada-da-avenia-a-emissora-da-maior-stablecoin-em-real/</t>
        </is>
      </c>
      <c r="Z23" t="inlineStr">
        <is>
          <t>‘SWIFT killer’. A rodada da Avenia, a emissora da maior stablecoin em real</t>
        </is>
      </c>
      <c r="AA23" t="inlineStr">
        <is>
          <t>Brazil Journal · fev 2026</t>
        </is>
      </c>
      <c r="AB23" t="inlineStr"/>
    </row>
    <row r="24">
      <c r="A24" s="5" t="inlineStr">
        <is>
          <t>222</t>
        </is>
      </c>
      <c r="B24" s="5" t="inlineStr">
        <is>
          <t>x</t>
        </is>
      </c>
      <c r="C24" s="5" t="inlineStr"/>
      <c r="D24" t="inlineStr">
        <is>
          <t>Datamint</t>
        </is>
      </c>
      <c r="E24" t="inlineStr"/>
      <c r="F24" s="5" t="inlineStr"/>
      <c r="G24" s="5" t="inlineStr"/>
      <c r="H24" s="5" t="inlineStr">
        <is>
          <t>x</t>
        </is>
      </c>
      <c r="I24" s="5" t="inlineStr"/>
      <c r="J24" s="5" t="inlineStr"/>
      <c r="K24" s="5" t="inlineStr"/>
      <c r="L24" t="inlineStr"/>
      <c r="M24" s="6">
        <f>IF(L24&lt;&gt;"",L24,_xlfn.TEXTJOIN(" · ",TRUE,IF(F24&lt;&gt;"","Fundador",""),IF(G24&lt;&gt;"","Anjo",""),IF(H24&lt;&gt;"","VC",""),IF(I24&lt;&gt;"","Gestão",""),IF(J24&lt;&gt;"","Conselho",""),IF(K24&lt;&gt;"","Buscapé","")))</f>
        <v/>
      </c>
      <c r="N24" t="inlineStr"/>
      <c r="O24" s="5" t="inlineStr">
        <is>
          <t>2026</t>
        </is>
      </c>
      <c r="P24" t="inlineStr">
        <is>
          <t>Ativa</t>
        </is>
      </c>
      <c r="Q24" s="5" t="inlineStr"/>
      <c r="R24" s="5" t="inlineStr"/>
      <c r="S24" t="inlineStr">
        <is>
          <t>https://datamint.com.br/en/</t>
        </is>
      </c>
      <c r="T24" t="inlineStr">
        <is>
          <t>https://www.crunchbase.com/organization/datamint-2aae</t>
        </is>
      </c>
      <c r="U24" t="inlineStr">
        <is>
          <t>datamint.png</t>
        </is>
      </c>
      <c r="V24" t="inlineStr"/>
      <c r="W24" t="inlineStr"/>
      <c r="X24" t="inlineStr"/>
      <c r="Y24" t="inlineStr">
        <is>
          <t>https://braziljournal.com/sujeira-no-painel-mato-ao-redor-a-datamint-tem-uma-ai-que-apita/</t>
        </is>
      </c>
      <c r="Z24" t="inlineStr">
        <is>
          <t>Sujeira no painel? Mato ao redor? A DataMint tem uma AI que apita</t>
        </is>
      </c>
      <c r="AA24" t="inlineStr">
        <is>
          <t>Brazil Journal · jun 2026</t>
        </is>
      </c>
      <c r="AB24" t="inlineStr">
        <is>
          <t>Headline: Series A de jun 2026 (Crunchbase).</t>
        </is>
      </c>
    </row>
    <row r="25">
      <c r="A25" s="5" t="inlineStr">
        <is>
          <t>224</t>
        </is>
      </c>
      <c r="B25" s="5" t="inlineStr">
        <is>
          <t>x</t>
        </is>
      </c>
      <c r="C25" s="5" t="inlineStr"/>
      <c r="D25" t="inlineStr">
        <is>
          <t>Vixtra</t>
        </is>
      </c>
      <c r="E25" t="inlineStr"/>
      <c r="F25" s="5" t="inlineStr"/>
      <c r="G25" s="5" t="inlineStr"/>
      <c r="H25" s="5" t="inlineStr">
        <is>
          <t>x</t>
        </is>
      </c>
      <c r="I25" s="5" t="inlineStr"/>
      <c r="J25" s="5" t="inlineStr"/>
      <c r="K25" s="5" t="inlineStr"/>
      <c r="L25" t="inlineStr"/>
      <c r="M25" s="6">
        <f>IF(L25&lt;&gt;"",L25,_xlfn.TEXTJOIN(" · ",TRUE,IF(F25&lt;&gt;"","Fundador",""),IF(G25&lt;&gt;"","Anjo",""),IF(H25&lt;&gt;"","VC",""),IF(I25&lt;&gt;"","Gestão",""),IF(J25&lt;&gt;"","Conselho",""),IF(K25&lt;&gt;"","Buscapé","")))</f>
        <v/>
      </c>
      <c r="N25" t="inlineStr"/>
      <c r="O25" s="5" t="inlineStr">
        <is>
          <t>2026</t>
        </is>
      </c>
      <c r="P25" t="inlineStr">
        <is>
          <t>Ativa</t>
        </is>
      </c>
      <c r="Q25" s="5" t="inlineStr"/>
      <c r="R25" s="5" t="inlineStr"/>
      <c r="S25" t="inlineStr">
        <is>
          <t>https://vixtra.com/</t>
        </is>
      </c>
      <c r="T25" t="inlineStr">
        <is>
          <t>https://www.crunchbase.com/organization/vixtra</t>
        </is>
      </c>
      <c r="U25" t="inlineStr">
        <is>
          <t>vixtra.png</t>
        </is>
      </c>
      <c r="V25" t="inlineStr"/>
      <c r="W25" t="inlineStr"/>
      <c r="X25" t="inlineStr"/>
      <c r="Y25" t="inlineStr">
        <is>
          <t>https://pipelinevalor.globo.com/negocios/noticia/vixtra-capta-r-45-milhoes-para-ampliar-trade-finance.ghtml</t>
        </is>
      </c>
      <c r="Z25" t="inlineStr">
        <is>
          <t>Vixtra capta R$ 45 milhões para ampliar trade finance</t>
        </is>
      </c>
      <c r="AA25" t="inlineStr">
        <is>
          <t>Pipeline Valor · jun 2026</t>
        </is>
      </c>
      <c r="AB25" t="inlineStr">
        <is>
          <t>Headline: Series A de jun 2026 (Crunchbase). Logo original é branco; convertido para escuro.</t>
        </is>
      </c>
    </row>
    <row r="26">
      <c r="A26" s="5" t="inlineStr">
        <is>
          <t>230</t>
        </is>
      </c>
      <c r="B26" s="5" t="inlineStr">
        <is>
          <t>x</t>
        </is>
      </c>
      <c r="C26" s="5" t="inlineStr"/>
      <c r="D26" t="inlineStr">
        <is>
          <t>CondoConta</t>
        </is>
      </c>
      <c r="E26" t="inlineStr"/>
      <c r="F26" s="5" t="inlineStr"/>
      <c r="G26" s="5" t="inlineStr"/>
      <c r="H26" s="5" t="inlineStr">
        <is>
          <t>x</t>
        </is>
      </c>
      <c r="I26" s="5" t="inlineStr"/>
      <c r="J26" s="5" t="inlineStr"/>
      <c r="K26" s="5" t="inlineStr"/>
      <c r="L26" t="inlineStr"/>
      <c r="M26" s="6">
        <f>IF(L26&lt;&gt;"",L26,_xlfn.TEXTJOIN(" · ",TRUE,IF(F26&lt;&gt;"","Fundador",""),IF(G26&lt;&gt;"","Anjo",""),IF(H26&lt;&gt;"","VC",""),IF(I26&lt;&gt;"","Gestão",""),IF(J26&lt;&gt;"","Conselho",""),IF(K26&lt;&gt;"","Buscapé","")))</f>
        <v/>
      </c>
      <c r="N26" t="inlineStr"/>
      <c r="O26" s="5" t="inlineStr">
        <is>
          <t>2021</t>
        </is>
      </c>
      <c r="P26" t="inlineStr">
        <is>
          <t>Ativa</t>
        </is>
      </c>
      <c r="Q26" s="5" t="inlineStr"/>
      <c r="R26" s="5" t="inlineStr"/>
      <c r="S26" t="inlineStr">
        <is>
          <t>https://condoconta.com.br</t>
        </is>
      </c>
      <c r="T26" t="inlineStr">
        <is>
          <t>https://www.crunchbase.com/organization/condoconta</t>
        </is>
      </c>
      <c r="U26" t="inlineStr">
        <is>
          <t>condoconta.png</t>
        </is>
      </c>
      <c r="V26" t="inlineStr"/>
      <c r="W26" t="inlineStr"/>
      <c r="X26" t="inlineStr"/>
      <c r="Y26" t="inlineStr"/>
      <c r="Z26" t="inlineStr"/>
      <c r="AA26" t="inlineStr"/>
      <c r="AB26" t="inlineStr"/>
    </row>
    <row r="27">
      <c r="A27" s="5" t="inlineStr">
        <is>
          <t>240</t>
        </is>
      </c>
      <c r="B27" s="5" t="inlineStr">
        <is>
          <t>x</t>
        </is>
      </c>
      <c r="C27" s="5" t="inlineStr"/>
      <c r="D27" t="inlineStr">
        <is>
          <t>Hero Seguros</t>
        </is>
      </c>
      <c r="E27" t="inlineStr"/>
      <c r="F27" s="5" t="inlineStr"/>
      <c r="G27" s="5" t="inlineStr"/>
      <c r="H27" s="5" t="inlineStr">
        <is>
          <t>x</t>
        </is>
      </c>
      <c r="I27" s="5" t="inlineStr"/>
      <c r="J27" s="5" t="inlineStr"/>
      <c r="K27" s="5" t="inlineStr"/>
      <c r="L27" t="inlineStr"/>
      <c r="M27" s="6">
        <f>IF(L27&lt;&gt;"",L27,_xlfn.TEXTJOIN(" · ",TRUE,IF(F27&lt;&gt;"","Fundador",""),IF(G27&lt;&gt;"","Anjo",""),IF(H27&lt;&gt;"","VC",""),IF(I27&lt;&gt;"","Gestão",""),IF(J27&lt;&gt;"","Conselho",""),IF(K27&lt;&gt;"","Buscapé","")))</f>
        <v/>
      </c>
      <c r="N27" t="inlineStr"/>
      <c r="O27" s="5" t="inlineStr">
        <is>
          <t>2026</t>
        </is>
      </c>
      <c r="P27" t="inlineStr">
        <is>
          <t>Ativa</t>
        </is>
      </c>
      <c r="Q27" s="5" t="inlineStr"/>
      <c r="R27" s="5" t="inlineStr"/>
      <c r="S27" t="inlineStr">
        <is>
          <t>https://heroseguros.com.br/</t>
        </is>
      </c>
      <c r="T27" t="inlineStr">
        <is>
          <t>https://www.crunchbase.com/organization/hero-seguros</t>
        </is>
      </c>
      <c r="U27" t="inlineStr">
        <is>
          <t>hero-seguros.png</t>
        </is>
      </c>
      <c r="V27" t="inlineStr"/>
      <c r="W27" t="inlineStr"/>
      <c r="X27" t="inlineStr"/>
      <c r="Y27" t="inlineStr">
        <is>
          <t>https://braziljournal.com/a-rodada-da-hero-que-quer-transformar-o-seguro-viagem/</t>
        </is>
      </c>
      <c r="Z27" t="inlineStr">
        <is>
          <t>A rodada da Hero, que quer transformar o seguro viagem</t>
        </is>
      </c>
      <c r="AA27" t="inlineStr">
        <is>
          <t>Brazil Journal · mar 2026</t>
        </is>
      </c>
      <c r="AB27" t="inlineStr"/>
    </row>
    <row r="28">
      <c r="A28" s="5" t="inlineStr">
        <is>
          <t>250</t>
        </is>
      </c>
      <c r="B28" s="5" t="inlineStr">
        <is>
          <t>x</t>
        </is>
      </c>
      <c r="C28" s="5" t="inlineStr"/>
      <c r="D28" t="inlineStr">
        <is>
          <t>Mercado de Recebíveis</t>
        </is>
      </c>
      <c r="E28" t="inlineStr"/>
      <c r="F28" s="5" t="inlineStr"/>
      <c r="G28" s="5" t="inlineStr"/>
      <c r="H28" s="5" t="inlineStr">
        <is>
          <t>x</t>
        </is>
      </c>
      <c r="I28" s="5" t="inlineStr"/>
      <c r="J28" s="5" t="inlineStr"/>
      <c r="K28" s="5" t="inlineStr"/>
      <c r="L28" t="inlineStr"/>
      <c r="M28" s="6">
        <f>IF(L28&lt;&gt;"",L28,_xlfn.TEXTJOIN(" · ",TRUE,IF(F28&lt;&gt;"","Fundador",""),IF(G28&lt;&gt;"","Anjo",""),IF(H28&lt;&gt;"","VC",""),IF(I28&lt;&gt;"","Gestão",""),IF(J28&lt;&gt;"","Conselho",""),IF(K28&lt;&gt;"","Buscapé","")))</f>
        <v/>
      </c>
      <c r="N28" t="inlineStr"/>
      <c r="O28" s="5" t="inlineStr">
        <is>
          <t>2025</t>
        </is>
      </c>
      <c r="P28" t="inlineStr">
        <is>
          <t>Ativa</t>
        </is>
      </c>
      <c r="Q28" s="5" t="inlineStr"/>
      <c r="R28" s="5" t="inlineStr"/>
      <c r="S28" t="inlineStr">
        <is>
          <t>https://mercadoderecebiveis.com.br/</t>
        </is>
      </c>
      <c r="T28" t="inlineStr">
        <is>
          <t>https://www.crunchbase.com/organization/mercado-de-receb%C3%ADveis</t>
        </is>
      </c>
      <c r="U28" t="inlineStr">
        <is>
          <t>mercado-de-recebiveis.png</t>
        </is>
      </c>
      <c r="V28" t="inlineStr"/>
      <c r="W28" t="inlineStr"/>
      <c r="X28" t="inlineStr"/>
      <c r="Y28" t="inlineStr">
        <is>
          <t>https://neofeed.com.br/startups/a-fintech-multiplicou-seu-valor-por-quatro-em-menos-de-dois-anos-e-ja-vale-r-300-milhoes/</t>
        </is>
      </c>
      <c r="Z28" t="inlineStr">
        <is>
          <t>A fintech que multiplicou seu valor por quatro em menos de dois anos. E já vale R$ 300 milhões</t>
        </is>
      </c>
      <c r="AA28" t="inlineStr">
        <is>
          <t>NeoFeed · ago 2025</t>
        </is>
      </c>
      <c r="AB28" t="inlineStr"/>
    </row>
    <row r="29">
      <c r="A29" s="5" t="inlineStr">
        <is>
          <t>260</t>
        </is>
      </c>
      <c r="B29" s="5" t="inlineStr">
        <is>
          <t>x</t>
        </is>
      </c>
      <c r="C29" s="5" t="inlineStr"/>
      <c r="D29" t="inlineStr">
        <is>
          <t>Neurogram</t>
        </is>
      </c>
      <c r="E29" t="inlineStr"/>
      <c r="F29" s="5" t="inlineStr"/>
      <c r="G29" s="5" t="inlineStr"/>
      <c r="H29" s="5" t="inlineStr">
        <is>
          <t>x</t>
        </is>
      </c>
      <c r="I29" s="5" t="inlineStr"/>
      <c r="J29" s="5" t="inlineStr"/>
      <c r="K29" s="5" t="inlineStr"/>
      <c r="L29" t="inlineStr"/>
      <c r="M29" s="6">
        <f>IF(L29&lt;&gt;"",L29,_xlfn.TEXTJOIN(" · ",TRUE,IF(F29&lt;&gt;"","Fundador",""),IF(G29&lt;&gt;"","Anjo",""),IF(H29&lt;&gt;"","VC",""),IF(I29&lt;&gt;"","Gestão",""),IF(J29&lt;&gt;"","Conselho",""),IF(K29&lt;&gt;"","Buscapé","")))</f>
        <v/>
      </c>
      <c r="N29" t="inlineStr"/>
      <c r="O29" s="5" t="inlineStr">
        <is>
          <t>2025</t>
        </is>
      </c>
      <c r="P29" t="inlineStr">
        <is>
          <t>Ativa</t>
        </is>
      </c>
      <c r="Q29" s="5" t="inlineStr"/>
      <c r="R29" s="5" t="inlineStr"/>
      <c r="S29" t="inlineStr">
        <is>
          <t>https://neurogram.com/</t>
        </is>
      </c>
      <c r="T29" t="inlineStr">
        <is>
          <t>https://www.crunchbase.com/organization/neurogram</t>
        </is>
      </c>
      <c r="U29" t="inlineStr">
        <is>
          <t>neurogram.png</t>
        </is>
      </c>
      <c r="V29" t="inlineStr"/>
      <c r="W29" t="inlineStr"/>
      <c r="X29" t="inlineStr"/>
      <c r="Y29" t="inlineStr">
        <is>
          <t>https://forbes.com.br/escolhas-do-editor/2025/08/aos-21-anos-ela-criou-uma-startup-que-ja-captou-r-23-milhoes/</t>
        </is>
      </c>
      <c r="Z29" t="inlineStr">
        <is>
          <t>Aos 21 Anos, Ela Criou uma Startup Que Já Captou R$ 23 Milhões</t>
        </is>
      </c>
      <c r="AA29" t="inlineStr">
        <is>
          <t>Forbes Brasil · ago 2025</t>
        </is>
      </c>
      <c r="AB29" t="inlineStr"/>
    </row>
    <row r="30">
      <c r="A30" s="5" t="inlineStr">
        <is>
          <t>270</t>
        </is>
      </c>
      <c r="B30" s="5" t="inlineStr">
        <is>
          <t>x</t>
        </is>
      </c>
      <c r="C30" s="5" t="inlineStr"/>
      <c r="D30" t="inlineStr">
        <is>
          <t>Housi</t>
        </is>
      </c>
      <c r="E30" t="inlineStr"/>
      <c r="F30" s="5" t="inlineStr"/>
      <c r="G30" s="5" t="inlineStr"/>
      <c r="H30" s="5" t="inlineStr">
        <is>
          <t>x</t>
        </is>
      </c>
      <c r="I30" s="5" t="inlineStr"/>
      <c r="J30" s="5" t="inlineStr"/>
      <c r="K30" s="5" t="inlineStr"/>
      <c r="L30" t="inlineStr"/>
      <c r="M30" s="6">
        <f>IF(L30&lt;&gt;"",L30,_xlfn.TEXTJOIN(" · ",TRUE,IF(F30&lt;&gt;"","Fundador",""),IF(G30&lt;&gt;"","Anjo",""),IF(H30&lt;&gt;"","VC",""),IF(I30&lt;&gt;"","Gestão",""),IF(J30&lt;&gt;"","Conselho",""),IF(K30&lt;&gt;"","Buscapé","")))</f>
        <v/>
      </c>
      <c r="N30" t="inlineStr"/>
      <c r="O30" s="5" t="inlineStr">
        <is>
          <t>2019</t>
        </is>
      </c>
      <c r="P30" t="inlineStr">
        <is>
          <t>Ativa</t>
        </is>
      </c>
      <c r="Q30" s="5" t="inlineStr"/>
      <c r="R30" s="5" t="inlineStr"/>
      <c r="S30" t="inlineStr">
        <is>
          <t>https://housi.com</t>
        </is>
      </c>
      <c r="T30" t="inlineStr">
        <is>
          <t>https://www.crunchbase.com/organization/housi</t>
        </is>
      </c>
      <c r="U30" t="inlineStr">
        <is>
          <t>housi.png</t>
        </is>
      </c>
      <c r="V30" t="inlineStr"/>
      <c r="W30" t="inlineStr"/>
      <c r="X30" t="inlineStr"/>
      <c r="Y30" t="inlineStr"/>
      <c r="Z30" t="inlineStr"/>
      <c r="AA30" t="inlineStr"/>
      <c r="AB30" t="inlineStr"/>
    </row>
    <row r="31">
      <c r="A31" s="5" t="inlineStr">
        <is>
          <t>280</t>
        </is>
      </c>
      <c r="B31" s="5" t="inlineStr">
        <is>
          <t>x</t>
        </is>
      </c>
      <c r="C31" s="5" t="inlineStr"/>
      <c r="D31" t="inlineStr">
        <is>
          <t>Vaas</t>
        </is>
      </c>
      <c r="E31" t="inlineStr"/>
      <c r="F31" s="5" t="inlineStr"/>
      <c r="G31" s="5" t="inlineStr"/>
      <c r="H31" s="5" t="inlineStr">
        <is>
          <t>x</t>
        </is>
      </c>
      <c r="I31" s="5" t="inlineStr"/>
      <c r="J31" s="5" t="inlineStr"/>
      <c r="K31" s="5" t="inlineStr"/>
      <c r="L31" t="inlineStr"/>
      <c r="M31" s="6">
        <f>IF(L31&lt;&gt;"",L31,_xlfn.TEXTJOIN(" · ",TRUE,IF(F31&lt;&gt;"","Fundador",""),IF(G31&lt;&gt;"","Anjo",""),IF(H31&lt;&gt;"","VC",""),IF(I31&lt;&gt;"","Gestão",""),IF(J31&lt;&gt;"","Conselho",""),IF(K31&lt;&gt;"","Buscapé","")))</f>
        <v/>
      </c>
      <c r="N31" t="inlineStr"/>
      <c r="O31" s="5" t="inlineStr">
        <is>
          <t>2025</t>
        </is>
      </c>
      <c r="P31" t="inlineStr">
        <is>
          <t>Ativa</t>
        </is>
      </c>
      <c r="Q31" s="5" t="inlineStr"/>
      <c r="R31" s="5" t="inlineStr"/>
      <c r="S31" t="inlineStr">
        <is>
          <t>https://vaas.com.br/</t>
        </is>
      </c>
      <c r="T31" t="inlineStr">
        <is>
          <t>https://www.crunchbase.com/organization/vaas-1dc0</t>
        </is>
      </c>
      <c r="U31" t="inlineStr">
        <is>
          <t>vaas.png</t>
        </is>
      </c>
      <c r="V31" t="inlineStr"/>
      <c r="W31" t="inlineStr"/>
      <c r="X31" t="inlineStr"/>
      <c r="Y31" t="inlineStr">
        <is>
          <t>https://neofeed.com.br/startups/esse-trio-vendeu-sua-primeira-startup-por-us-100-milhoes-agora-quer-prevenir-fraudes/</t>
        </is>
      </c>
      <c r="Z31" t="inlineStr">
        <is>
          <t>Esse trio vendeu sua primeira startup por US$ 100 milhões. Agora, quer prevenir fraudes</t>
        </is>
      </c>
      <c r="AA31" t="inlineStr">
        <is>
          <t>NeoFeed · ago 2025</t>
        </is>
      </c>
      <c r="AB31" t="inlineStr"/>
    </row>
    <row r="32">
      <c r="A32" s="5" t="inlineStr">
        <is>
          <t>290</t>
        </is>
      </c>
      <c r="B32" s="5" t="inlineStr">
        <is>
          <t>x</t>
        </is>
      </c>
      <c r="C32" s="5" t="inlineStr"/>
      <c r="D32" t="inlineStr">
        <is>
          <t>Tembici</t>
        </is>
      </c>
      <c r="E32" t="inlineStr"/>
      <c r="F32" s="5" t="inlineStr"/>
      <c r="G32" s="5" t="inlineStr"/>
      <c r="H32" s="5" t="inlineStr">
        <is>
          <t>x</t>
        </is>
      </c>
      <c r="I32" s="5" t="inlineStr"/>
      <c r="J32" s="5" t="inlineStr"/>
      <c r="K32" s="5" t="inlineStr"/>
      <c r="L32" t="inlineStr"/>
      <c r="M32" s="6">
        <f>IF(L32&lt;&gt;"",L32,_xlfn.TEXTJOIN(" · ",TRUE,IF(F32&lt;&gt;"","Fundador",""),IF(G32&lt;&gt;"","Anjo",""),IF(H32&lt;&gt;"","VC",""),IF(I32&lt;&gt;"","Gestão",""),IF(J32&lt;&gt;"","Conselho",""),IF(K32&lt;&gt;"","Buscapé","")))</f>
        <v/>
      </c>
      <c r="N32" t="inlineStr"/>
      <c r="O32" s="5" t="inlineStr">
        <is>
          <t>2020</t>
        </is>
      </c>
      <c r="P32" t="inlineStr">
        <is>
          <t>Ativa</t>
        </is>
      </c>
      <c r="Q32" s="5" t="inlineStr"/>
      <c r="R32" s="5" t="inlineStr"/>
      <c r="S32" t="inlineStr">
        <is>
          <t>https://www.tembici.com.br/pt/</t>
        </is>
      </c>
      <c r="T32" t="inlineStr">
        <is>
          <t>https://www.crunchbase.com/organization/tem-bici</t>
        </is>
      </c>
      <c r="U32" t="inlineStr">
        <is>
          <t>tembici.png</t>
        </is>
      </c>
      <c r="V32" t="inlineStr"/>
      <c r="W32" t="inlineStr"/>
      <c r="X32" t="inlineStr"/>
      <c r="Y32" t="inlineStr"/>
      <c r="Z32" t="inlineStr"/>
      <c r="AA32" t="inlineStr"/>
      <c r="AB32" t="inlineStr"/>
    </row>
    <row r="33">
      <c r="A33" s="5" t="inlineStr">
        <is>
          <t>300</t>
        </is>
      </c>
      <c r="B33" s="5" t="inlineStr">
        <is>
          <t>x</t>
        </is>
      </c>
      <c r="C33" s="5" t="inlineStr"/>
      <c r="D33" t="inlineStr">
        <is>
          <t>eureciclo</t>
        </is>
      </c>
      <c r="E33" t="inlineStr"/>
      <c r="F33" s="5" t="inlineStr"/>
      <c r="G33" s="5" t="inlineStr"/>
      <c r="H33" s="5" t="inlineStr">
        <is>
          <t>x</t>
        </is>
      </c>
      <c r="I33" s="5" t="inlineStr"/>
      <c r="J33" s="5" t="inlineStr"/>
      <c r="K33" s="5" t="inlineStr"/>
      <c r="L33" t="inlineStr"/>
      <c r="M33" s="6">
        <f>IF(L33&lt;&gt;"",L33,_xlfn.TEXTJOIN(" · ",TRUE,IF(F33&lt;&gt;"","Fundador",""),IF(G33&lt;&gt;"","Anjo",""),IF(H33&lt;&gt;"","VC",""),IF(I33&lt;&gt;"","Gestão",""),IF(J33&lt;&gt;"","Conselho",""),IF(K33&lt;&gt;"","Buscapé","")))</f>
        <v/>
      </c>
      <c r="N33" t="inlineStr"/>
      <c r="O33" s="5" t="inlineStr">
        <is>
          <t>2020</t>
        </is>
      </c>
      <c r="P33" t="inlineStr">
        <is>
          <t>Ativa</t>
        </is>
      </c>
      <c r="Q33" s="5" t="inlineStr"/>
      <c r="R33" s="5" t="inlineStr"/>
      <c r="S33" t="inlineStr">
        <is>
          <t>https://eureciclo.com.br/</t>
        </is>
      </c>
      <c r="T33" t="inlineStr">
        <is>
          <t>https://www.crunchbase.com/organization/eureciclo</t>
        </is>
      </c>
      <c r="U33" t="inlineStr">
        <is>
          <t>eureciclo.png</t>
        </is>
      </c>
      <c r="V33" t="inlineStr"/>
      <c r="W33" t="inlineStr"/>
      <c r="X33" t="inlineStr"/>
      <c r="Y33" t="inlineStr"/>
      <c r="Z33" t="inlineStr"/>
      <c r="AA33" t="inlineStr"/>
      <c r="AB33" t="inlineStr"/>
    </row>
    <row r="34">
      <c r="A34" s="5" t="inlineStr">
        <is>
          <t>310</t>
        </is>
      </c>
      <c r="B34" s="5" t="inlineStr">
        <is>
          <t>x</t>
        </is>
      </c>
      <c r="C34" s="5" t="inlineStr"/>
      <c r="D34" t="inlineStr">
        <is>
          <t>MarketUP</t>
        </is>
      </c>
      <c r="E34" t="inlineStr"/>
      <c r="F34" s="5" t="inlineStr"/>
      <c r="G34" s="5" t="inlineStr">
        <is>
          <t>x</t>
        </is>
      </c>
      <c r="H34" s="5" t="inlineStr"/>
      <c r="I34" s="5" t="inlineStr"/>
      <c r="J34" s="5" t="inlineStr">
        <is>
          <t>x</t>
        </is>
      </c>
      <c r="K34" s="5" t="inlineStr"/>
      <c r="L34" t="inlineStr"/>
      <c r="M34" s="6">
        <f>IF(L34&lt;&gt;"",L34,_xlfn.TEXTJOIN(" · ",TRUE,IF(F34&lt;&gt;"","Fundador",""),IF(G34&lt;&gt;"","Anjo",""),IF(H34&lt;&gt;"","VC",""),IF(I34&lt;&gt;"","Gestão",""),IF(J34&lt;&gt;"","Conselho",""),IF(K34&lt;&gt;"","Buscapé","")))</f>
        <v/>
      </c>
      <c r="N34" t="inlineStr"/>
      <c r="O34" s="5" t="inlineStr"/>
      <c r="P34" t="inlineStr">
        <is>
          <t>Ativa</t>
        </is>
      </c>
      <c r="Q34" s="5" t="inlineStr"/>
      <c r="R34" s="5" t="inlineStr"/>
      <c r="S34" t="inlineStr">
        <is>
          <t>https://marketup.com</t>
        </is>
      </c>
      <c r="T34" t="inlineStr">
        <is>
          <t>https://www.crunchbase.com/organization/marketup</t>
        </is>
      </c>
      <c r="U34" t="inlineStr">
        <is>
          <t>marketup.png</t>
        </is>
      </c>
      <c r="V34" t="inlineStr"/>
      <c r="W34" t="inlineStr"/>
      <c r="X34" t="inlineStr"/>
      <c r="Y34" t="inlineStr"/>
      <c r="Z34" t="inlineStr"/>
      <c r="AA34" t="inlineStr"/>
      <c r="AB34" t="inlineStr"/>
    </row>
    <row r="35">
      <c r="A35" s="5" t="inlineStr">
        <is>
          <t>320</t>
        </is>
      </c>
      <c r="B35" s="5" t="inlineStr">
        <is>
          <t>x</t>
        </is>
      </c>
      <c r="C35" s="5" t="inlineStr"/>
      <c r="D35" t="inlineStr">
        <is>
          <t>Delfos</t>
        </is>
      </c>
      <c r="E35" t="inlineStr"/>
      <c r="F35" s="5" t="inlineStr"/>
      <c r="G35" s="5" t="inlineStr"/>
      <c r="H35" s="5" t="inlineStr">
        <is>
          <t>x</t>
        </is>
      </c>
      <c r="I35" s="5" t="inlineStr"/>
      <c r="J35" s="5" t="inlineStr"/>
      <c r="K35" s="5" t="inlineStr"/>
      <c r="L35" t="inlineStr"/>
      <c r="M35" s="6">
        <f>IF(L35&lt;&gt;"",L35,_xlfn.TEXTJOIN(" · ",TRUE,IF(F35&lt;&gt;"","Fundador",""),IF(G35&lt;&gt;"","Anjo",""),IF(H35&lt;&gt;"","VC",""),IF(I35&lt;&gt;"","Gestão",""),IF(J35&lt;&gt;"","Conselho",""),IF(K35&lt;&gt;"","Buscapé","")))</f>
        <v/>
      </c>
      <c r="N35" t="inlineStr"/>
      <c r="O35" s="5" t="inlineStr">
        <is>
          <t>2023</t>
        </is>
      </c>
      <c r="P35" t="inlineStr">
        <is>
          <t>Ativa</t>
        </is>
      </c>
      <c r="Q35" s="5" t="inlineStr"/>
      <c r="R35" s="5" t="inlineStr"/>
      <c r="S35" t="inlineStr">
        <is>
          <t>https://www.delfos.energy/</t>
        </is>
      </c>
      <c r="T35" t="inlineStr">
        <is>
          <t>https://www.crunchbase.com/organization/delfos-intelligent-maintenance</t>
        </is>
      </c>
      <c r="U35" t="inlineStr">
        <is>
          <t>delfos.png</t>
        </is>
      </c>
      <c r="V35" t="inlineStr"/>
      <c r="W35" t="inlineStr"/>
      <c r="X35" t="inlineStr"/>
      <c r="Y35" t="inlineStr"/>
      <c r="Z35" t="inlineStr"/>
      <c r="AA35" t="inlineStr"/>
      <c r="AB35" t="inlineStr"/>
    </row>
    <row r="36">
      <c r="A36" s="5" t="inlineStr">
        <is>
          <t>330</t>
        </is>
      </c>
      <c r="B36" s="5" t="inlineStr">
        <is>
          <t>x</t>
        </is>
      </c>
      <c r="C36" s="5" t="inlineStr"/>
      <c r="D36" t="inlineStr">
        <is>
          <t>Revert</t>
        </is>
      </c>
      <c r="E36" t="inlineStr"/>
      <c r="F36" s="5" t="inlineStr"/>
      <c r="G36" s="5" t="inlineStr"/>
      <c r="H36" s="5" t="inlineStr">
        <is>
          <t>x</t>
        </is>
      </c>
      <c r="I36" s="5" t="inlineStr"/>
      <c r="J36" s="5" t="inlineStr"/>
      <c r="K36" s="5" t="inlineStr"/>
      <c r="L36" t="inlineStr"/>
      <c r="M36" s="6">
        <f>IF(L36&lt;&gt;"",L36,_xlfn.TEXTJOIN(" · ",TRUE,IF(F36&lt;&gt;"","Fundador",""),IF(G36&lt;&gt;"","Anjo",""),IF(H36&lt;&gt;"","VC",""),IF(I36&lt;&gt;"","Gestão",""),IF(J36&lt;&gt;"","Conselho",""),IF(K36&lt;&gt;"","Buscapé","")))</f>
        <v/>
      </c>
      <c r="N36" t="inlineStr"/>
      <c r="O36" s="5" t="inlineStr">
        <is>
          <t>2026</t>
        </is>
      </c>
      <c r="P36" t="inlineStr">
        <is>
          <t>Ativa</t>
        </is>
      </c>
      <c r="Q36" s="5" t="inlineStr"/>
      <c r="R36" s="5" t="inlineStr"/>
      <c r="S36" t="inlineStr">
        <is>
          <t>https://revertai.com.br/</t>
        </is>
      </c>
      <c r="T36" t="inlineStr"/>
      <c r="U36" t="inlineStr">
        <is>
          <t>revert.png</t>
        </is>
      </c>
      <c r="V36" t="inlineStr"/>
      <c r="W36" t="inlineStr"/>
      <c r="X36" t="inlineStr"/>
      <c r="Y36" t="inlineStr">
        <is>
          <t>https://exame.com/insight/com-r-5-bilhoes-processados-revert-atrai-valor-capital-e-ja-mira-nova-rodada/p</t>
        </is>
      </c>
      <c r="Z36" t="inlineStr">
        <is>
          <t>Com R$ 5 bilhões processados, Revert atrai Valor Capital e já mira nova rodada</t>
        </is>
      </c>
      <c r="AA36" t="inlineStr">
        <is>
          <t>Exame · ago 2026</t>
        </is>
      </c>
      <c r="AB36" t="inlineStr"/>
    </row>
    <row r="37">
      <c r="A37" s="5" t="inlineStr">
        <is>
          <t>340</t>
        </is>
      </c>
      <c r="B37" s="5" t="inlineStr">
        <is>
          <t>x</t>
        </is>
      </c>
      <c r="C37" s="5" t="inlineStr"/>
      <c r="D37" t="inlineStr">
        <is>
          <t>Alia.do</t>
        </is>
      </c>
      <c r="E37" t="inlineStr"/>
      <c r="F37" s="5" t="inlineStr"/>
      <c r="G37" s="5" t="inlineStr"/>
      <c r="H37" s="5" t="inlineStr">
        <is>
          <t>x</t>
        </is>
      </c>
      <c r="I37" s="5" t="inlineStr"/>
      <c r="J37" s="5" t="inlineStr"/>
      <c r="K37" s="5" t="inlineStr"/>
      <c r="L37" t="inlineStr"/>
      <c r="M37" s="6">
        <f>IF(L37&lt;&gt;"",L37,_xlfn.TEXTJOIN(" · ",TRUE,IF(F37&lt;&gt;"","Fundador",""),IF(G37&lt;&gt;"","Anjo",""),IF(H37&lt;&gt;"","VC",""),IF(I37&lt;&gt;"","Gestão",""),IF(J37&lt;&gt;"","Conselho",""),IF(K37&lt;&gt;"","Buscapé","")))</f>
        <v/>
      </c>
      <c r="N37" t="inlineStr"/>
      <c r="O37" s="5" t="inlineStr">
        <is>
          <t>2025</t>
        </is>
      </c>
      <c r="P37" t="inlineStr">
        <is>
          <t>Ativa</t>
        </is>
      </c>
      <c r="Q37" s="5" t="inlineStr"/>
      <c r="R37" s="5" t="inlineStr"/>
      <c r="S37" t="inlineStr">
        <is>
          <t>https://alia.do</t>
        </is>
      </c>
      <c r="T37" t="inlineStr">
        <is>
          <t>https://www.crunchbase.com/organization/aliado-1328</t>
        </is>
      </c>
      <c r="U37" t="inlineStr">
        <is>
          <t>alia-do.png</t>
        </is>
      </c>
      <c r="V37" t="inlineStr"/>
      <c r="W37" t="inlineStr"/>
      <c r="X37" t="inlineStr"/>
      <c r="Y37" t="inlineStr">
        <is>
          <t>https://exame.com/negocios/startup-de-ia-que-ouve-vendedores-em-lojas-fisicas-levanta-r-13-milhoes/</t>
        </is>
      </c>
      <c r="Z37" t="inlineStr">
        <is>
          <t>Startup de IA que ‘ouve’ vendedores em lojas físicas levanta R$ 13 milhões</t>
        </is>
      </c>
      <c r="AA37" t="inlineStr">
        <is>
          <t>Exame · jan 2026</t>
        </is>
      </c>
      <c r="AB37" t="inlineStr"/>
    </row>
    <row r="38">
      <c r="A38" s="5" t="inlineStr">
        <is>
          <t>350</t>
        </is>
      </c>
      <c r="B38" s="5" t="inlineStr">
        <is>
          <t>x</t>
        </is>
      </c>
      <c r="C38" s="5" t="inlineStr"/>
      <c r="D38" t="inlineStr">
        <is>
          <t>Celero</t>
        </is>
      </c>
      <c r="E38" t="inlineStr"/>
      <c r="F38" s="5" t="inlineStr"/>
      <c r="G38" s="5" t="inlineStr"/>
      <c r="H38" s="5" t="inlineStr">
        <is>
          <t>x</t>
        </is>
      </c>
      <c r="I38" s="5" t="inlineStr"/>
      <c r="J38" s="5" t="inlineStr"/>
      <c r="K38" s="5" t="inlineStr"/>
      <c r="L38" t="inlineStr"/>
      <c r="M38" s="6">
        <f>IF(L38&lt;&gt;"",L38,_xlfn.TEXTJOIN(" · ",TRUE,IF(F38&lt;&gt;"","Fundador",""),IF(G38&lt;&gt;"","Anjo",""),IF(H38&lt;&gt;"","VC",""),IF(I38&lt;&gt;"","Gestão",""),IF(J38&lt;&gt;"","Conselho",""),IF(K38&lt;&gt;"","Buscapé","")))</f>
        <v/>
      </c>
      <c r="N38" t="inlineStr"/>
      <c r="O38" s="5" t="inlineStr">
        <is>
          <t>2025</t>
        </is>
      </c>
      <c r="P38" t="inlineStr">
        <is>
          <t>Ativa</t>
        </is>
      </c>
      <c r="Q38" s="5" t="inlineStr"/>
      <c r="R38" s="5" t="inlineStr"/>
      <c r="S38" t="inlineStr">
        <is>
          <t>https://celero.com.br</t>
        </is>
      </c>
      <c r="T38" t="inlineStr">
        <is>
          <t>https://www.crunchbase.com/organization/celero-534d</t>
        </is>
      </c>
      <c r="U38" t="inlineStr">
        <is>
          <t>celero.png</t>
        </is>
      </c>
      <c r="V38" t="inlineStr"/>
      <c r="W38" t="inlineStr"/>
      <c r="X38" t="inlineStr"/>
      <c r="Y38" t="inlineStr">
        <is>
          <t>https://neofeed.com.br/startups/o-que-visa-e-headline-viram-na-celero/</t>
        </is>
      </c>
      <c r="Z38" t="inlineStr">
        <is>
          <t>O que Visa e Headline viram na Celero</t>
        </is>
      </c>
      <c r="AA38" t="inlineStr">
        <is>
          <t>NeoFeed · mar 2026</t>
        </is>
      </c>
      <c r="AB38" t="inlineStr"/>
    </row>
    <row r="39">
      <c r="A39" s="5" t="inlineStr">
        <is>
          <t>360</t>
        </is>
      </c>
      <c r="B39" s="5" t="inlineStr">
        <is>
          <t>x</t>
        </is>
      </c>
      <c r="C39" s="5" t="inlineStr"/>
      <c r="D39" t="inlineStr">
        <is>
          <t>Doc9</t>
        </is>
      </c>
      <c r="E39" t="inlineStr"/>
      <c r="F39" s="5" t="inlineStr"/>
      <c r="G39" s="5" t="inlineStr"/>
      <c r="H39" s="5" t="inlineStr">
        <is>
          <t>x</t>
        </is>
      </c>
      <c r="I39" s="5" t="inlineStr"/>
      <c r="J39" s="5" t="inlineStr"/>
      <c r="K39" s="5" t="inlineStr"/>
      <c r="L39" t="inlineStr"/>
      <c r="M39" s="6">
        <f>IF(L39&lt;&gt;"",L39,_xlfn.TEXTJOIN(" · ",TRUE,IF(F39&lt;&gt;"","Fundador",""),IF(G39&lt;&gt;"","Anjo",""),IF(H39&lt;&gt;"","VC",""),IF(I39&lt;&gt;"","Gestão",""),IF(J39&lt;&gt;"","Conselho",""),IF(K39&lt;&gt;"","Buscapé","")))</f>
        <v/>
      </c>
      <c r="N39" t="inlineStr"/>
      <c r="O39" s="5" t="inlineStr">
        <is>
          <t>2025</t>
        </is>
      </c>
      <c r="P39" t="inlineStr">
        <is>
          <t>Ativa</t>
        </is>
      </c>
      <c r="Q39" s="5" t="inlineStr"/>
      <c r="R39" s="5" t="inlineStr"/>
      <c r="S39" t="inlineStr">
        <is>
          <t>https://doc9.com.br/</t>
        </is>
      </c>
      <c r="T39" t="inlineStr">
        <is>
          <t>https://www.crunchbase.com/organization/doc9</t>
        </is>
      </c>
      <c r="U39" t="inlineStr">
        <is>
          <t>doc9.png</t>
        </is>
      </c>
      <c r="V39" t="inlineStr"/>
      <c r="W39" t="inlineStr"/>
      <c r="X39" t="inlineStr"/>
      <c r="Y39" t="inlineStr">
        <is>
          <t>https://neofeed.com.br/startups/headline-da-o-veredito-para-seu-13o-investimento/</t>
        </is>
      </c>
      <c r="Z39" t="inlineStr">
        <is>
          <t>Headline dá o "veredito" para seu 13º investimento</t>
        </is>
      </c>
      <c r="AA39" t="inlineStr">
        <is>
          <t>NeoFeed · abr 2025</t>
        </is>
      </c>
      <c r="AB39" t="inlineStr"/>
    </row>
    <row r="40">
      <c r="A40" s="5" t="inlineStr">
        <is>
          <t>370</t>
        </is>
      </c>
      <c r="B40" s="5" t="inlineStr">
        <is>
          <t>x</t>
        </is>
      </c>
      <c r="C40" s="5" t="inlineStr"/>
      <c r="D40" t="inlineStr">
        <is>
          <t>Jumpad</t>
        </is>
      </c>
      <c r="E40" t="inlineStr"/>
      <c r="F40" s="5" t="inlineStr"/>
      <c r="G40" s="5" t="inlineStr"/>
      <c r="H40" s="5" t="inlineStr">
        <is>
          <t>x</t>
        </is>
      </c>
      <c r="I40" s="5" t="inlineStr"/>
      <c r="J40" s="5" t="inlineStr"/>
      <c r="K40" s="5" t="inlineStr"/>
      <c r="L40" t="inlineStr"/>
      <c r="M40" s="6">
        <f>IF(L40&lt;&gt;"",L40,_xlfn.TEXTJOIN(" · ",TRUE,IF(F40&lt;&gt;"","Fundador",""),IF(G40&lt;&gt;"","Anjo",""),IF(H40&lt;&gt;"","VC",""),IF(I40&lt;&gt;"","Gestão",""),IF(J40&lt;&gt;"","Conselho",""),IF(K40&lt;&gt;"","Buscapé","")))</f>
        <v/>
      </c>
      <c r="N40" t="inlineStr"/>
      <c r="O40" s="5" t="inlineStr">
        <is>
          <t>2025</t>
        </is>
      </c>
      <c r="P40" t="inlineStr">
        <is>
          <t>Ativa</t>
        </is>
      </c>
      <c r="Q40" s="5" t="inlineStr"/>
      <c r="R40" s="5" t="inlineStr"/>
      <c r="S40" t="inlineStr">
        <is>
          <t>https://jumpad.ai/</t>
        </is>
      </c>
      <c r="T40" t="inlineStr"/>
      <c r="U40" t="inlineStr">
        <is>
          <t>jumpad.png</t>
        </is>
      </c>
      <c r="V40" t="inlineStr"/>
      <c r="W40" t="inlineStr"/>
      <c r="X40" t="inlineStr"/>
      <c r="Y40" t="inlineStr"/>
      <c r="Z40" t="inlineStr"/>
      <c r="AA40" t="inlineStr"/>
      <c r="AB40" t="inlineStr"/>
    </row>
    <row r="41">
      <c r="A41" s="5" t="inlineStr">
        <is>
          <t>380</t>
        </is>
      </c>
      <c r="B41" s="5" t="inlineStr">
        <is>
          <t>x</t>
        </is>
      </c>
      <c r="C41" s="5" t="inlineStr"/>
      <c r="D41" t="inlineStr">
        <is>
          <t>PipeImob</t>
        </is>
      </c>
      <c r="E41" t="inlineStr"/>
      <c r="F41" s="5" t="inlineStr"/>
      <c r="G41" s="5" t="inlineStr"/>
      <c r="H41" s="5" t="inlineStr">
        <is>
          <t>x</t>
        </is>
      </c>
      <c r="I41" s="5" t="inlineStr"/>
      <c r="J41" s="5" t="inlineStr"/>
      <c r="K41" s="5" t="inlineStr"/>
      <c r="L41" t="inlineStr"/>
      <c r="M41" s="6">
        <f>IF(L41&lt;&gt;"",L41,_xlfn.TEXTJOIN(" · ",TRUE,IF(F41&lt;&gt;"","Fundador",""),IF(G41&lt;&gt;"","Anjo",""),IF(H41&lt;&gt;"","VC",""),IF(I41&lt;&gt;"","Gestão",""),IF(J41&lt;&gt;"","Conselho",""),IF(K41&lt;&gt;"","Buscapé","")))</f>
        <v/>
      </c>
      <c r="N41" t="inlineStr"/>
      <c r="O41" s="5" t="inlineStr">
        <is>
          <t>2025</t>
        </is>
      </c>
      <c r="P41" t="inlineStr">
        <is>
          <t>Ativa</t>
        </is>
      </c>
      <c r="Q41" s="5" t="inlineStr"/>
      <c r="R41" s="5" t="inlineStr"/>
      <c r="S41" t="inlineStr">
        <is>
          <t>https://pipeimob.com.br/</t>
        </is>
      </c>
      <c r="T41" t="inlineStr">
        <is>
          <t>https://www.crunchbase.com/organization/pipeimob</t>
        </is>
      </c>
      <c r="U41" t="inlineStr">
        <is>
          <t>pipeimob.png</t>
        </is>
      </c>
      <c r="V41" t="inlineStr"/>
      <c r="W41" t="inlineStr"/>
      <c r="X41" t="inlineStr"/>
      <c r="Y41" t="inlineStr">
        <is>
          <t>https://neofeed.com.br/startups/ele-vendeu-o-zap-a-suahouse-e-a-kzas-e-agora-atraiu-um-cheque-da-headline-para-sua-nova-startup/</t>
        </is>
      </c>
      <c r="Z41" t="inlineStr">
        <is>
          <t>Ele vendeu o ZAP, a SuaHouse e a Kzas. E, agora, atraiu um cheque da Headline para sua nova startup</t>
        </is>
      </c>
      <c r="AA41" t="inlineStr">
        <is>
          <t>NeoFeed · ago 2025</t>
        </is>
      </c>
      <c r="AB41" t="inlineStr"/>
    </row>
    <row r="42">
      <c r="A42" s="5" t="inlineStr">
        <is>
          <t>390</t>
        </is>
      </c>
      <c r="B42" s="5" t="inlineStr">
        <is>
          <t>x</t>
        </is>
      </c>
      <c r="C42" s="5" t="inlineStr"/>
      <c r="D42" t="inlineStr">
        <is>
          <t>Horuss</t>
        </is>
      </c>
      <c r="E42" t="inlineStr"/>
      <c r="F42" s="5" t="inlineStr"/>
      <c r="G42" s="5" t="inlineStr"/>
      <c r="H42" s="5" t="inlineStr">
        <is>
          <t>x</t>
        </is>
      </c>
      <c r="I42" s="5" t="inlineStr"/>
      <c r="J42" s="5" t="inlineStr"/>
      <c r="K42" s="5" t="inlineStr"/>
      <c r="L42" t="inlineStr"/>
      <c r="M42" s="6">
        <f>IF(L42&lt;&gt;"",L42,_xlfn.TEXTJOIN(" · ",TRUE,IF(F42&lt;&gt;"","Fundador",""),IF(G42&lt;&gt;"","Anjo",""),IF(H42&lt;&gt;"","VC",""),IF(I42&lt;&gt;"","Gestão",""),IF(J42&lt;&gt;"","Conselho",""),IF(K42&lt;&gt;"","Buscapé","")))</f>
        <v/>
      </c>
      <c r="N42" t="inlineStr"/>
      <c r="O42" s="5" t="inlineStr">
        <is>
          <t>2024</t>
        </is>
      </c>
      <c r="P42" t="inlineStr">
        <is>
          <t>Ativa</t>
        </is>
      </c>
      <c r="Q42" s="5" t="inlineStr"/>
      <c r="R42" s="5" t="inlineStr"/>
      <c r="S42" t="inlineStr">
        <is>
          <t>https://www.horuss.ai/</t>
        </is>
      </c>
      <c r="T42" t="inlineStr">
        <is>
          <t>https://www.crunchbase.com/organization/horuss-ai</t>
        </is>
      </c>
      <c r="U42" t="inlineStr">
        <is>
          <t>horuss.png</t>
        </is>
      </c>
      <c r="V42" t="inlineStr"/>
      <c r="W42" t="inlineStr"/>
      <c r="X42" t="inlineStr"/>
      <c r="Y42" t="inlineStr">
        <is>
          <t>https://braziljournal.com/a-horuss-ai-quer-levar-eficiencia-aos-planos-de-saude-com-dados-e-machine-learning/</t>
        </is>
      </c>
      <c r="Z42" t="inlineStr">
        <is>
          <t>A Horuss AI quer levar eficiência aos planos de saúde (com dados e machine learning)</t>
        </is>
      </c>
      <c r="AA42" t="inlineStr">
        <is>
          <t>Brazil Journal · set 2024</t>
        </is>
      </c>
      <c r="AB42" t="inlineStr"/>
    </row>
    <row r="43">
      <c r="A43" s="5" t="inlineStr">
        <is>
          <t>400</t>
        </is>
      </c>
      <c r="B43" s="5" t="inlineStr">
        <is>
          <t>x</t>
        </is>
      </c>
      <c r="C43" s="5" t="inlineStr"/>
      <c r="D43" t="inlineStr">
        <is>
          <t>Turn2C</t>
        </is>
      </c>
      <c r="E43" t="inlineStr"/>
      <c r="F43" s="5" t="inlineStr"/>
      <c r="G43" s="5" t="inlineStr"/>
      <c r="H43" s="5" t="inlineStr">
        <is>
          <t>x</t>
        </is>
      </c>
      <c r="I43" s="5" t="inlineStr"/>
      <c r="J43" s="5" t="inlineStr"/>
      <c r="K43" s="5" t="inlineStr"/>
      <c r="L43" t="inlineStr"/>
      <c r="M43" s="6">
        <f>IF(L43&lt;&gt;"",L43,_xlfn.TEXTJOIN(" · ",TRUE,IF(F43&lt;&gt;"","Fundador",""),IF(G43&lt;&gt;"","Anjo",""),IF(H43&lt;&gt;"","VC",""),IF(I43&lt;&gt;"","Gestão",""),IF(J43&lt;&gt;"","Conselho",""),IF(K43&lt;&gt;"","Buscapé","")))</f>
        <v/>
      </c>
      <c r="N43" t="inlineStr"/>
      <c r="O43" s="5" t="inlineStr">
        <is>
          <t>2024</t>
        </is>
      </c>
      <c r="P43" t="inlineStr">
        <is>
          <t>Ativa</t>
        </is>
      </c>
      <c r="Q43" s="5" t="inlineStr"/>
      <c r="R43" s="5" t="inlineStr"/>
      <c r="S43" t="inlineStr">
        <is>
          <t>https://turn2c.com</t>
        </is>
      </c>
      <c r="T43" t="inlineStr">
        <is>
          <t>https://www.crunchbase.com/organization/turn2c</t>
        </is>
      </c>
      <c r="U43" t="inlineStr">
        <is>
          <t>turn2c.png</t>
        </is>
      </c>
      <c r="V43" t="inlineStr"/>
      <c r="W43" t="inlineStr"/>
      <c r="X43" t="inlineStr"/>
      <c r="Y43" t="inlineStr">
        <is>
          <t>https://neofeed.com.br/startups/em-seu-setimo-cheque-headline-investe-em-fintech-de-consorcio-turn2c/</t>
        </is>
      </c>
      <c r="Z43" t="inlineStr">
        <is>
          <t>Em seu sétimo cheque, Headline investe em fintech de consórcio Turn2C</t>
        </is>
      </c>
      <c r="AA43" t="inlineStr">
        <is>
          <t>NeoFeed · mar 2024</t>
        </is>
      </c>
      <c r="AB43" t="inlineStr"/>
    </row>
    <row r="44">
      <c r="A44" s="5" t="inlineStr">
        <is>
          <t>410</t>
        </is>
      </c>
      <c r="B44" s="5" t="inlineStr">
        <is>
          <t>x</t>
        </is>
      </c>
      <c r="C44" s="5" t="inlineStr"/>
      <c r="D44" t="inlineStr">
        <is>
          <t>Cycles</t>
        </is>
      </c>
      <c r="E44" t="inlineStr"/>
      <c r="F44" s="5" t="inlineStr"/>
      <c r="G44" s="5" t="inlineStr"/>
      <c r="H44" s="5" t="inlineStr">
        <is>
          <t>x</t>
        </is>
      </c>
      <c r="I44" s="5" t="inlineStr"/>
      <c r="J44" s="5" t="inlineStr"/>
      <c r="K44" s="5" t="inlineStr"/>
      <c r="L44" t="inlineStr"/>
      <c r="M44" s="6">
        <f>IF(L44&lt;&gt;"",L44,_xlfn.TEXTJOIN(" · ",TRUE,IF(F44&lt;&gt;"","Fundador",""),IF(G44&lt;&gt;"","Anjo",""),IF(H44&lt;&gt;"","VC",""),IF(I44&lt;&gt;"","Gestão",""),IF(J44&lt;&gt;"","Conselho",""),IF(K44&lt;&gt;"","Buscapé","")))</f>
        <v/>
      </c>
      <c r="N44" t="inlineStr"/>
      <c r="O44" s="5" t="inlineStr">
        <is>
          <t>2023</t>
        </is>
      </c>
      <c r="P44" t="inlineStr">
        <is>
          <t>Ativa</t>
        </is>
      </c>
      <c r="Q44" s="5" t="inlineStr"/>
      <c r="R44" s="5" t="inlineStr"/>
      <c r="S44" t="inlineStr"/>
      <c r="T44" t="inlineStr">
        <is>
          <t>https://www.crunchbase.com/organization/cycles-nutrition</t>
        </is>
      </c>
      <c r="U44" t="inlineStr">
        <is>
          <t>cycles.png</t>
        </is>
      </c>
      <c r="V44" t="inlineStr"/>
      <c r="W44" t="inlineStr"/>
      <c r="X44" t="inlineStr"/>
      <c r="Y44" t="inlineStr"/>
      <c r="Z44" t="inlineStr"/>
      <c r="AA44" t="inlineStr"/>
      <c r="AB44" t="inlineStr"/>
    </row>
    <row r="45">
      <c r="A45" s="5" t="inlineStr">
        <is>
          <t>420</t>
        </is>
      </c>
      <c r="B45" s="5" t="inlineStr">
        <is>
          <t>x</t>
        </is>
      </c>
      <c r="C45" s="5" t="inlineStr"/>
      <c r="D45" t="inlineStr">
        <is>
          <t>Fiibo</t>
        </is>
      </c>
      <c r="E45" t="inlineStr"/>
      <c r="F45" s="5" t="inlineStr"/>
      <c r="G45" s="5" t="inlineStr"/>
      <c r="H45" s="5" t="inlineStr">
        <is>
          <t>x</t>
        </is>
      </c>
      <c r="I45" s="5" t="inlineStr"/>
      <c r="J45" s="5" t="inlineStr"/>
      <c r="K45" s="5" t="inlineStr"/>
      <c r="L45" t="inlineStr"/>
      <c r="M45" s="6">
        <f>IF(L45&lt;&gt;"",L45,_xlfn.TEXTJOIN(" · ",TRUE,IF(F45&lt;&gt;"","Fundador",""),IF(G45&lt;&gt;"","Anjo",""),IF(H45&lt;&gt;"","VC",""),IF(I45&lt;&gt;"","Gestão",""),IF(J45&lt;&gt;"","Conselho",""),IF(K45&lt;&gt;"","Buscapé","")))</f>
        <v/>
      </c>
      <c r="N45" t="inlineStr"/>
      <c r="O45" s="5" t="inlineStr">
        <is>
          <t>2023</t>
        </is>
      </c>
      <c r="P45" t="inlineStr">
        <is>
          <t>Ativa</t>
        </is>
      </c>
      <c r="Q45" s="5" t="inlineStr"/>
      <c r="R45" s="5" t="inlineStr"/>
      <c r="S45" t="inlineStr">
        <is>
          <t>https://fiibo.com.br</t>
        </is>
      </c>
      <c r="T45" t="inlineStr">
        <is>
          <t>https://www.crunchbase.com/organization/fiibo</t>
        </is>
      </c>
      <c r="U45" t="inlineStr">
        <is>
          <t>fiibo.png</t>
        </is>
      </c>
      <c r="V45" t="inlineStr"/>
      <c r="W45" t="inlineStr"/>
      <c r="X45" t="inlineStr"/>
      <c r="Y45" t="inlineStr">
        <is>
          <t>https://pipelinevalor.globo.com/startups/noticia/marketplace-de-saude-fiibo-atrai-headline-brasil-e-fundo-do-einstein.ghtml</t>
        </is>
      </c>
      <c r="Z45" t="inlineStr">
        <is>
          <t>Marketplace de saúde, Fiibo atrai Headline Brasil e fundo do Einstein</t>
        </is>
      </c>
      <c r="AA45" t="inlineStr">
        <is>
          <t>Pipeline Valor · ago 2023</t>
        </is>
      </c>
      <c r="AB45" t="inlineStr"/>
    </row>
    <row r="46">
      <c r="A46" s="5" t="inlineStr">
        <is>
          <t>430</t>
        </is>
      </c>
      <c r="B46" s="5" t="inlineStr">
        <is>
          <t>x</t>
        </is>
      </c>
      <c r="C46" s="5" t="inlineStr"/>
      <c r="D46" t="inlineStr">
        <is>
          <t>Fin-X</t>
        </is>
      </c>
      <c r="E46" t="inlineStr"/>
      <c r="F46" s="5" t="inlineStr"/>
      <c r="G46" s="5" t="inlineStr"/>
      <c r="H46" s="5" t="inlineStr">
        <is>
          <t>x</t>
        </is>
      </c>
      <c r="I46" s="5" t="inlineStr"/>
      <c r="J46" s="5" t="inlineStr"/>
      <c r="K46" s="5" t="inlineStr"/>
      <c r="L46" t="inlineStr"/>
      <c r="M46" s="6">
        <f>IF(L46&lt;&gt;"",L46,_xlfn.TEXTJOIN(" · ",TRUE,IF(F46&lt;&gt;"","Fundador",""),IF(G46&lt;&gt;"","Anjo",""),IF(H46&lt;&gt;"","VC",""),IF(I46&lt;&gt;"","Gestão",""),IF(J46&lt;&gt;"","Conselho",""),IF(K46&lt;&gt;"","Buscapé","")))</f>
        <v/>
      </c>
      <c r="N46" t="inlineStr"/>
      <c r="O46" s="5" t="inlineStr">
        <is>
          <t>2023</t>
        </is>
      </c>
      <c r="P46" t="inlineStr">
        <is>
          <t>Ativa</t>
        </is>
      </c>
      <c r="Q46" s="5" t="inlineStr"/>
      <c r="R46" s="5" t="inlineStr"/>
      <c r="S46" t="inlineStr"/>
      <c r="T46" t="inlineStr">
        <is>
          <t>https://www.crunchbase.com/organization/fin-x</t>
        </is>
      </c>
      <c r="U46" t="inlineStr">
        <is>
          <t>fin-x.png</t>
        </is>
      </c>
      <c r="V46" t="inlineStr"/>
      <c r="W46" t="inlineStr"/>
      <c r="X46" t="inlineStr"/>
      <c r="Y46" t="inlineStr">
        <is>
          <t>https://www.infomoney.com.br/negocios/fundo-headline-xp-mira-na-saude-e-investe-r-78-mi-na-healtech-fin-x/</t>
        </is>
      </c>
      <c r="Z46" t="inlineStr">
        <is>
          <t>Fundo Headline XP mira na saúde e investe R$ 7,8 mi na healtech Fin-X</t>
        </is>
      </c>
      <c r="AA46" t="inlineStr">
        <is>
          <t>InfoMoney · mar 2023</t>
        </is>
      </c>
      <c r="AB46" t="inlineStr"/>
    </row>
    <row r="47">
      <c r="A47" s="5" t="inlineStr">
        <is>
          <t>440</t>
        </is>
      </c>
      <c r="B47" s="5" t="inlineStr">
        <is>
          <t>x</t>
        </is>
      </c>
      <c r="C47" s="5" t="inlineStr"/>
      <c r="D47" t="inlineStr">
        <is>
          <t>Hubii</t>
        </is>
      </c>
      <c r="E47" t="inlineStr"/>
      <c r="F47" s="5" t="inlineStr"/>
      <c r="G47" s="5" t="inlineStr"/>
      <c r="H47" s="5" t="inlineStr">
        <is>
          <t>x</t>
        </is>
      </c>
      <c r="I47" s="5" t="inlineStr"/>
      <c r="J47" s="5" t="inlineStr"/>
      <c r="K47" s="5" t="inlineStr"/>
      <c r="L47" t="inlineStr"/>
      <c r="M47" s="6">
        <f>IF(L47&lt;&gt;"",L47,_xlfn.TEXTJOIN(" · ",TRUE,IF(F47&lt;&gt;"","Fundador",""),IF(G47&lt;&gt;"","Anjo",""),IF(H47&lt;&gt;"","VC",""),IF(I47&lt;&gt;"","Gestão",""),IF(J47&lt;&gt;"","Conselho",""),IF(K47&lt;&gt;"","Buscapé","")))</f>
        <v/>
      </c>
      <c r="N47" t="inlineStr"/>
      <c r="O47" s="5" t="inlineStr">
        <is>
          <t>2023</t>
        </is>
      </c>
      <c r="P47" t="inlineStr">
        <is>
          <t>Ativa</t>
        </is>
      </c>
      <c r="Q47" s="5" t="inlineStr"/>
      <c r="R47" s="5" t="inlineStr"/>
      <c r="S47" t="inlineStr">
        <is>
          <t>https://hubii.com.br/</t>
        </is>
      </c>
      <c r="T47" t="inlineStr">
        <is>
          <t>https://www.crunchbase.com/organization/hubii-7288</t>
        </is>
      </c>
      <c r="U47" t="inlineStr">
        <is>
          <t>hubii.png</t>
        </is>
      </c>
      <c r="V47" t="inlineStr"/>
      <c r="W47" t="inlineStr"/>
      <c r="X47" t="inlineStr"/>
      <c r="Y47" t="inlineStr"/>
      <c r="Z47" t="inlineStr"/>
      <c r="AA47" t="inlineStr"/>
      <c r="AB47" t="inlineStr"/>
    </row>
    <row r="48">
      <c r="A48" s="5" t="inlineStr">
        <is>
          <t>450</t>
        </is>
      </c>
      <c r="B48" s="5" t="inlineStr">
        <is>
          <t>x</t>
        </is>
      </c>
      <c r="C48" s="5" t="inlineStr"/>
      <c r="D48" t="inlineStr">
        <is>
          <t>Mission Brasil</t>
        </is>
      </c>
      <c r="E48" t="inlineStr"/>
      <c r="F48" s="5" t="inlineStr"/>
      <c r="G48" s="5" t="inlineStr"/>
      <c r="H48" s="5" t="inlineStr">
        <is>
          <t>x</t>
        </is>
      </c>
      <c r="I48" s="5" t="inlineStr"/>
      <c r="J48" s="5" t="inlineStr"/>
      <c r="K48" s="5" t="inlineStr"/>
      <c r="L48" t="inlineStr"/>
      <c r="M48" s="6">
        <f>IF(L48&lt;&gt;"",L48,_xlfn.TEXTJOIN(" · ",TRUE,IF(F48&lt;&gt;"","Fundador",""),IF(G48&lt;&gt;"","Anjo",""),IF(H48&lt;&gt;"","VC",""),IF(I48&lt;&gt;"","Gestão",""),IF(J48&lt;&gt;"","Conselho",""),IF(K48&lt;&gt;"","Buscapé","")))</f>
        <v/>
      </c>
      <c r="N48" t="inlineStr"/>
      <c r="O48" s="5" t="inlineStr">
        <is>
          <t>2023</t>
        </is>
      </c>
      <c r="P48" t="inlineStr">
        <is>
          <t>Ativa</t>
        </is>
      </c>
      <c r="Q48" s="5" t="inlineStr"/>
      <c r="R48" s="5" t="inlineStr"/>
      <c r="S48" t="inlineStr">
        <is>
          <t>https://missionbrasil.com.br/</t>
        </is>
      </c>
      <c r="T48" t="inlineStr">
        <is>
          <t>https://www.crunchbase.com/organization/mission-brasil</t>
        </is>
      </c>
      <c r="U48" t="inlineStr">
        <is>
          <t>mission-brasil.png</t>
        </is>
      </c>
      <c r="V48" t="inlineStr"/>
      <c r="W48" t="inlineStr"/>
      <c r="X48" t="inlineStr"/>
      <c r="Y48" t="inlineStr">
        <is>
          <t>https://pipelinevalor.globo.com/startups/noticia/headline-e-domo-aumentam-aposta-na-gig-economy-com-mission-brasil.ghtml</t>
        </is>
      </c>
      <c r="Z48" t="inlineStr">
        <is>
          <t>Headline e Domo aumentam aposta na gig economy com Mission Brasil</t>
        </is>
      </c>
      <c r="AA48" t="inlineStr">
        <is>
          <t>Pipeline Valor · dez 2025</t>
        </is>
      </c>
      <c r="AB48" t="inlineStr"/>
    </row>
    <row r="49">
      <c r="A49" s="5" t="inlineStr">
        <is>
          <t>460</t>
        </is>
      </c>
      <c r="B49" s="5" t="inlineStr">
        <is>
          <t>x</t>
        </is>
      </c>
      <c r="C49" s="5" t="inlineStr"/>
      <c r="D49" t="inlineStr">
        <is>
          <t>Trinus</t>
        </is>
      </c>
      <c r="E49" t="inlineStr"/>
      <c r="F49" s="5" t="inlineStr"/>
      <c r="G49" s="5" t="inlineStr"/>
      <c r="H49" s="5" t="inlineStr">
        <is>
          <t>x</t>
        </is>
      </c>
      <c r="I49" s="5" t="inlineStr"/>
      <c r="J49" s="5" t="inlineStr"/>
      <c r="K49" s="5" t="inlineStr"/>
      <c r="L49" t="inlineStr"/>
      <c r="M49" s="6">
        <f>IF(L49&lt;&gt;"",L49,_xlfn.TEXTJOIN(" · ",TRUE,IF(F49&lt;&gt;"","Fundador",""),IF(G49&lt;&gt;"","Anjo",""),IF(H49&lt;&gt;"","VC",""),IF(I49&lt;&gt;"","Gestão",""),IF(J49&lt;&gt;"","Conselho",""),IF(K49&lt;&gt;"","Buscapé","")))</f>
        <v/>
      </c>
      <c r="N49" t="inlineStr"/>
      <c r="O49" s="5" t="inlineStr">
        <is>
          <t>2023</t>
        </is>
      </c>
      <c r="P49" t="inlineStr">
        <is>
          <t>Ativa</t>
        </is>
      </c>
      <c r="Q49" s="5" t="inlineStr"/>
      <c r="R49" s="5" t="inlineStr"/>
      <c r="S49" t="inlineStr">
        <is>
          <t>https://trinus.co</t>
        </is>
      </c>
      <c r="T49" t="inlineStr">
        <is>
          <t>https://www.crunchbase.com/organization/trinus-co</t>
        </is>
      </c>
      <c r="U49" t="inlineStr">
        <is>
          <t>trinus.png</t>
        </is>
      </c>
      <c r="V49" t="inlineStr"/>
      <c r="W49" t="inlineStr"/>
      <c r="X49" t="inlineStr"/>
      <c r="Y49" t="inlineStr">
        <is>
          <t>https://valor.globo.com/financas/noticia/2023/12/15/headline-lidera-rodada-na-trinus-de-ate-r-70-milhoes.ghtml</t>
        </is>
      </c>
      <c r="Z49" t="inlineStr">
        <is>
          <t>Headline, de Romero Rodrigues, lidera rodada na Trinus de até R$ 70 milhões</t>
        </is>
      </c>
      <c r="AA49" t="inlineStr">
        <is>
          <t>Valor · dez 2023</t>
        </is>
      </c>
      <c r="AB49" t="inlineStr"/>
    </row>
    <row r="50">
      <c r="A50" s="5" t="inlineStr">
        <is>
          <t>470</t>
        </is>
      </c>
      <c r="B50" s="5" t="inlineStr">
        <is>
          <t>x</t>
        </is>
      </c>
      <c r="C50" s="5" t="inlineStr"/>
      <c r="D50" t="inlineStr">
        <is>
          <t>Upik</t>
        </is>
      </c>
      <c r="E50" t="inlineStr"/>
      <c r="F50" s="5" t="inlineStr"/>
      <c r="G50" s="5" t="inlineStr"/>
      <c r="H50" s="5" t="inlineStr">
        <is>
          <t>x</t>
        </is>
      </c>
      <c r="I50" s="5" t="inlineStr"/>
      <c r="J50" s="5" t="inlineStr"/>
      <c r="K50" s="5" t="inlineStr"/>
      <c r="L50" t="inlineStr"/>
      <c r="M50" s="6">
        <f>IF(L50&lt;&gt;"",L50,_xlfn.TEXTJOIN(" · ",TRUE,IF(F50&lt;&gt;"","Fundador",""),IF(G50&lt;&gt;"","Anjo",""),IF(H50&lt;&gt;"","VC",""),IF(I50&lt;&gt;"","Gestão",""),IF(J50&lt;&gt;"","Conselho",""),IF(K50&lt;&gt;"","Buscapé","")))</f>
        <v/>
      </c>
      <c r="N50" t="inlineStr"/>
      <c r="O50" s="5" t="inlineStr">
        <is>
          <t>2023</t>
        </is>
      </c>
      <c r="P50" t="inlineStr">
        <is>
          <t>Ativa</t>
        </is>
      </c>
      <c r="Q50" s="5" t="inlineStr"/>
      <c r="R50" s="5" t="inlineStr"/>
      <c r="S50" t="inlineStr"/>
      <c r="T50" t="inlineStr">
        <is>
          <t>https://www.crunchbase.com/organization/upik</t>
        </is>
      </c>
      <c r="U50" t="inlineStr">
        <is>
          <t>upik.png</t>
        </is>
      </c>
      <c r="V50" t="inlineStr"/>
      <c r="W50" t="inlineStr"/>
      <c r="X50" t="inlineStr"/>
      <c r="Y50" t="inlineStr">
        <is>
          <t>https://imoveis.estadao.com.br/noticias/startup-arquiteto-de-bolso-recebe-aporte-de-r-15-milhoes-para-desenvolver-novos-produtos/</t>
        </is>
      </c>
      <c r="Z50" t="inlineStr">
        <is>
          <t>Startup Arquiteto de Bolso recebe aporte de R$ 15 milhões para desenvolver novos produtos</t>
        </is>
      </c>
      <c r="AA50" t="inlineStr">
        <is>
          <t>Estadão · mar 2024</t>
        </is>
      </c>
      <c r="AB50" t="inlineStr"/>
    </row>
    <row r="51">
      <c r="A51" s="5" t="inlineStr">
        <is>
          <t>480</t>
        </is>
      </c>
      <c r="B51" s="5" t="inlineStr">
        <is>
          <t>x</t>
        </is>
      </c>
      <c r="C51" s="5" t="inlineStr"/>
      <c r="D51" t="inlineStr">
        <is>
          <t>Smart Break</t>
        </is>
      </c>
      <c r="E51" t="inlineStr"/>
      <c r="F51" s="5" t="inlineStr"/>
      <c r="G51" s="5" t="inlineStr"/>
      <c r="H51" s="5" t="inlineStr">
        <is>
          <t>x</t>
        </is>
      </c>
      <c r="I51" s="5" t="inlineStr"/>
      <c r="J51" s="5" t="inlineStr"/>
      <c r="K51" s="5" t="inlineStr"/>
      <c r="L51" t="inlineStr"/>
      <c r="M51" s="6">
        <f>IF(L51&lt;&gt;"",L51,_xlfn.TEXTJOIN(" · ",TRUE,IF(F51&lt;&gt;"","Fundador",""),IF(G51&lt;&gt;"","Anjo",""),IF(H51&lt;&gt;"","VC",""),IF(I51&lt;&gt;"","Gestão",""),IF(J51&lt;&gt;"","Conselho",""),IF(K51&lt;&gt;"","Buscapé","")))</f>
        <v/>
      </c>
      <c r="N51" t="inlineStr"/>
      <c r="O51" s="5" t="inlineStr">
        <is>
          <t>2022</t>
        </is>
      </c>
      <c r="P51" t="inlineStr">
        <is>
          <t>Ativa</t>
        </is>
      </c>
      <c r="Q51" s="5" t="inlineStr"/>
      <c r="R51" s="5" t="inlineStr"/>
      <c r="S51" t="inlineStr"/>
      <c r="T51" t="inlineStr">
        <is>
          <t>https://www.crunchbase.com/organization/smart-break</t>
        </is>
      </c>
      <c r="U51" t="inlineStr">
        <is>
          <t>smart-break.png</t>
        </is>
      </c>
      <c r="V51" t="inlineStr"/>
      <c r="W51" t="inlineStr"/>
      <c r="X51" t="inlineStr"/>
      <c r="Y51" t="inlineStr"/>
      <c r="Z51" t="inlineStr"/>
      <c r="AA51" t="inlineStr"/>
      <c r="AB51" t="inlineStr"/>
    </row>
    <row r="52">
      <c r="A52" s="5" t="inlineStr">
        <is>
          <t>490</t>
        </is>
      </c>
      <c r="B52" s="5" t="inlineStr">
        <is>
          <t>x</t>
        </is>
      </c>
      <c r="C52" s="5" t="inlineStr"/>
      <c r="D52" t="inlineStr">
        <is>
          <t>Arena</t>
        </is>
      </c>
      <c r="E52" t="inlineStr"/>
      <c r="F52" s="5" t="inlineStr"/>
      <c r="G52" s="5" t="inlineStr"/>
      <c r="H52" s="5" t="inlineStr">
        <is>
          <t>x</t>
        </is>
      </c>
      <c r="I52" s="5" t="inlineStr"/>
      <c r="J52" s="5" t="inlineStr"/>
      <c r="K52" s="5" t="inlineStr"/>
      <c r="L52" t="inlineStr"/>
      <c r="M52" s="6">
        <f>IF(L52&lt;&gt;"",L52,_xlfn.TEXTJOIN(" · ",TRUE,IF(F52&lt;&gt;"","Fundador",""),IF(G52&lt;&gt;"","Anjo",""),IF(H52&lt;&gt;"","VC",""),IF(I52&lt;&gt;"","Gestão",""),IF(J52&lt;&gt;"","Conselho",""),IF(K52&lt;&gt;"","Buscapé","")))</f>
        <v/>
      </c>
      <c r="N52" t="inlineStr"/>
      <c r="O52" s="5" t="inlineStr">
        <is>
          <t>2020</t>
        </is>
      </c>
      <c r="P52" t="inlineStr">
        <is>
          <t>Ativa</t>
        </is>
      </c>
      <c r="Q52" s="5" t="inlineStr"/>
      <c r="R52" s="5" t="inlineStr"/>
      <c r="S52" t="inlineStr">
        <is>
          <t>https://arena.im/</t>
        </is>
      </c>
      <c r="T52" t="inlineStr">
        <is>
          <t>https://www.crunchbase.com/organization/arena-im</t>
        </is>
      </c>
      <c r="U52" t="inlineStr">
        <is>
          <t>arena.png</t>
        </is>
      </c>
      <c r="V52" t="inlineStr"/>
      <c r="W52" t="inlineStr"/>
      <c r="X52" t="inlineStr"/>
      <c r="Y52" t="inlineStr"/>
      <c r="Z52" t="inlineStr"/>
      <c r="AA52" t="inlineStr"/>
      <c r="AB52" t="inlineStr">
        <is>
          <t>Via Redpoint eventures (seed de jun 2020).</t>
        </is>
      </c>
    </row>
    <row r="53">
      <c r="A53" s="5" t="inlineStr">
        <is>
          <t>490</t>
        </is>
      </c>
      <c r="B53" s="5" t="inlineStr">
        <is>
          <t>x</t>
        </is>
      </c>
      <c r="C53" s="5" t="inlineStr">
        <is>
          <t>3</t>
        </is>
      </c>
      <c r="D53" t="inlineStr">
        <is>
          <t>XP Inc.</t>
        </is>
      </c>
      <c r="E53" t="inlineStr"/>
      <c r="F53" s="5" t="inlineStr"/>
      <c r="G53" s="5" t="inlineStr"/>
      <c r="H53" s="5" t="inlineStr"/>
      <c r="I53" s="5" t="inlineStr">
        <is>
          <t>x</t>
        </is>
      </c>
      <c r="J53" s="5" t="inlineStr"/>
      <c r="K53" s="5" t="inlineStr"/>
      <c r="L53" t="inlineStr">
        <is>
          <t>Sócio e executivo</t>
        </is>
      </c>
      <c r="M53" s="6">
        <f>IF(L53&lt;&gt;"",L53,_xlfn.TEXTJOIN(" · ",TRUE,IF(F53&lt;&gt;"","Fundador",""),IF(G53&lt;&gt;"","Anjo",""),IF(H53&lt;&gt;"","VC",""),IF(I53&lt;&gt;"","Gestão",""),IF(J53&lt;&gt;"","Conselho",""),IF(K53&lt;&gt;"","Buscapé","")))</f>
        <v/>
      </c>
      <c r="N53" t="inlineStr"/>
      <c r="O53" s="5" t="inlineStr">
        <is>
          <t>2022</t>
        </is>
      </c>
      <c r="P53" t="inlineStr"/>
      <c r="Q53" s="5" t="inlineStr"/>
      <c r="R53" s="5" t="inlineStr"/>
      <c r="S53" t="inlineStr"/>
      <c r="T53" t="inlineStr">
        <is>
          <t>https://www.crunchbase.com/organization/grupo-xp</t>
        </is>
      </c>
      <c r="U53" t="inlineStr">
        <is>
          <t>xp-inc.png</t>
        </is>
      </c>
      <c r="V53" t="inlineStr"/>
      <c r="W53" t="inlineStr"/>
      <c r="X53" t="inlineStr"/>
      <c r="Y53" t="inlineStr">
        <is>
          <t>https://valor.globo.com/financas/noticia/2022/06/09/fundo-de-venture-capital-da-xp-com-a-headline-capta-r-916-mi.ghtml</t>
        </is>
      </c>
      <c r="Z53" t="inlineStr">
        <is>
          <t>Fundo de venture capital da XP com a Headline capta R$ 916 mi</t>
        </is>
      </c>
      <c r="AA53" t="inlineStr">
        <is>
          <t>Valor · jun 2022</t>
        </is>
      </c>
      <c r="AB53" t="inlineStr"/>
    </row>
    <row r="54">
      <c r="A54" s="5" t="inlineStr">
        <is>
          <t>500</t>
        </is>
      </c>
      <c r="B54" s="5" t="inlineStr">
        <is>
          <t>x</t>
        </is>
      </c>
      <c r="C54" s="5" t="inlineStr"/>
      <c r="D54" t="inlineStr">
        <is>
          <t>Kzas</t>
        </is>
      </c>
      <c r="E54" t="inlineStr"/>
      <c r="F54" s="5" t="inlineStr"/>
      <c r="G54" s="5" t="inlineStr"/>
      <c r="H54" s="5" t="inlineStr">
        <is>
          <t>x</t>
        </is>
      </c>
      <c r="I54" s="5" t="inlineStr"/>
      <c r="J54" s="5" t="inlineStr"/>
      <c r="K54" s="5" t="inlineStr"/>
      <c r="L54" t="inlineStr"/>
      <c r="M54" s="6">
        <f>IF(L54&lt;&gt;"",L54,_xlfn.TEXTJOIN(" · ",TRUE,IF(F54&lt;&gt;"","Fundador",""),IF(G54&lt;&gt;"","Anjo",""),IF(H54&lt;&gt;"","VC",""),IF(I54&lt;&gt;"","Gestão",""),IF(J54&lt;&gt;"","Conselho",""),IF(K54&lt;&gt;"","Buscapé","")))</f>
        <v/>
      </c>
      <c r="N54" t="inlineStr">
        <is>
          <t>Vendida à Creditas</t>
        </is>
      </c>
      <c r="O54" s="5" t="inlineStr">
        <is>
          <t>2020</t>
        </is>
      </c>
      <c r="P54" t="inlineStr">
        <is>
          <t>Saída</t>
        </is>
      </c>
      <c r="Q54" s="5" t="inlineStr">
        <is>
          <t>x</t>
        </is>
      </c>
      <c r="R54" s="5" t="inlineStr"/>
      <c r="S54" t="inlineStr"/>
      <c r="T54" t="inlineStr">
        <is>
          <t>https://www.crunchbase.com/organization/kzas-ai</t>
        </is>
      </c>
      <c r="U54" t="inlineStr">
        <is>
          <t>kzas.png</t>
        </is>
      </c>
      <c r="V54" t="inlineStr"/>
      <c r="W54" t="inlineStr"/>
      <c r="X54" t="inlineStr"/>
      <c r="Y54" t="inlineStr"/>
      <c r="Z54" t="inlineStr"/>
      <c r="AA54" t="inlineStr"/>
      <c r="AB54" t="inlineStr"/>
    </row>
    <row r="55">
      <c r="A55" s="5" t="inlineStr">
        <is>
          <t>510</t>
        </is>
      </c>
      <c r="B55" s="5" t="inlineStr">
        <is>
          <t>x</t>
        </is>
      </c>
      <c r="C55" s="5" t="inlineStr"/>
      <c r="D55" t="inlineStr">
        <is>
          <t>Antecipa</t>
        </is>
      </c>
      <c r="E55" t="inlineStr"/>
      <c r="F55" s="5" t="inlineStr"/>
      <c r="G55" s="5" t="inlineStr"/>
      <c r="H55" s="5" t="inlineStr">
        <is>
          <t>x</t>
        </is>
      </c>
      <c r="I55" s="5" t="inlineStr"/>
      <c r="J55" s="5" t="inlineStr"/>
      <c r="K55" s="5" t="inlineStr"/>
      <c r="L55" t="inlineStr"/>
      <c r="M55" s="6">
        <f>IF(L55&lt;&gt;"",L55,_xlfn.TEXTJOIN(" · ",TRUE,IF(F55&lt;&gt;"","Fundador",""),IF(G55&lt;&gt;"","Anjo",""),IF(H55&lt;&gt;"","VC",""),IF(I55&lt;&gt;"","Gestão",""),IF(J55&lt;&gt;"","Conselho",""),IF(K55&lt;&gt;"","Buscapé","")))</f>
        <v/>
      </c>
      <c r="N55" t="inlineStr">
        <is>
          <t>Vendida à XP Inc.</t>
        </is>
      </c>
      <c r="O55" s="5" t="inlineStr">
        <is>
          <t>2019</t>
        </is>
      </c>
      <c r="P55" t="inlineStr">
        <is>
          <t>Saída</t>
        </is>
      </c>
      <c r="Q55" s="5" t="inlineStr">
        <is>
          <t>x</t>
        </is>
      </c>
      <c r="R55" s="5" t="inlineStr"/>
      <c r="S55" t="inlineStr">
        <is>
          <t>https://antecipa.com/</t>
        </is>
      </c>
      <c r="T55" t="inlineStr">
        <is>
          <t>https://www.crunchbase.com/organization/antecipa</t>
        </is>
      </c>
      <c r="U55" t="inlineStr">
        <is>
          <t>antecipa.png</t>
        </is>
      </c>
      <c r="V55" t="inlineStr"/>
      <c r="W55" t="inlineStr"/>
      <c r="X55" t="inlineStr"/>
      <c r="Y55" t="inlineStr"/>
      <c r="Z55" t="inlineStr"/>
      <c r="AA55" t="inlineStr"/>
      <c r="AB55" t="inlineStr"/>
    </row>
    <row r="56">
      <c r="A56" s="5" t="inlineStr">
        <is>
          <t>520</t>
        </is>
      </c>
      <c r="B56" s="5" t="inlineStr">
        <is>
          <t>x</t>
        </is>
      </c>
      <c r="C56" s="5" t="inlineStr"/>
      <c r="D56" t="inlineStr">
        <is>
          <t>GigU</t>
        </is>
      </c>
      <c r="E56" t="inlineStr"/>
      <c r="F56" s="5" t="inlineStr"/>
      <c r="G56" s="5" t="inlineStr"/>
      <c r="H56" s="5" t="inlineStr">
        <is>
          <t>x</t>
        </is>
      </c>
      <c r="I56" s="5" t="inlineStr"/>
      <c r="J56" s="5" t="inlineStr"/>
      <c r="K56" s="5" t="inlineStr"/>
      <c r="L56" t="inlineStr"/>
      <c r="M56" s="6">
        <f>IF(L56&lt;&gt;"",L56,_xlfn.TEXTJOIN(" · ",TRUE,IF(F56&lt;&gt;"","Fundador",""),IF(G56&lt;&gt;"","Anjo",""),IF(H56&lt;&gt;"","VC",""),IF(I56&lt;&gt;"","Gestão",""),IF(J56&lt;&gt;"","Conselho",""),IF(K56&lt;&gt;"","Buscapé","")))</f>
        <v/>
      </c>
      <c r="N56" t="inlineStr"/>
      <c r="O56" s="5" t="inlineStr">
        <is>
          <t>2019</t>
        </is>
      </c>
      <c r="P56" t="inlineStr">
        <is>
          <t>Ativa</t>
        </is>
      </c>
      <c r="Q56" s="5" t="inlineStr"/>
      <c r="R56" s="5" t="inlineStr"/>
      <c r="S56" t="inlineStr">
        <is>
          <t>https://gigu.co/br</t>
        </is>
      </c>
      <c r="T56" t="inlineStr">
        <is>
          <t>https://www.crunchbase.com/organization/stopclub</t>
        </is>
      </c>
      <c r="U56" t="inlineStr">
        <is>
          <t>gigu.png</t>
        </is>
      </c>
      <c r="V56" t="inlineStr"/>
      <c r="W56" t="inlineStr"/>
      <c r="X56" t="inlineStr"/>
      <c r="Y56" t="inlineStr"/>
      <c r="Z56" t="inlineStr"/>
      <c r="AA56" t="inlineStr"/>
      <c r="AB56" t="inlineStr"/>
    </row>
    <row r="57">
      <c r="A57" s="5" t="inlineStr">
        <is>
          <t>530</t>
        </is>
      </c>
      <c r="B57" s="5" t="inlineStr">
        <is>
          <t>x</t>
        </is>
      </c>
      <c r="C57" s="5" t="inlineStr"/>
      <c r="D57" t="inlineStr">
        <is>
          <t>Vittude</t>
        </is>
      </c>
      <c r="E57" t="inlineStr"/>
      <c r="F57" s="5" t="inlineStr"/>
      <c r="G57" s="5" t="inlineStr"/>
      <c r="H57" s="5" t="inlineStr">
        <is>
          <t>x</t>
        </is>
      </c>
      <c r="I57" s="5" t="inlineStr"/>
      <c r="J57" s="5" t="inlineStr"/>
      <c r="K57" s="5" t="inlineStr"/>
      <c r="L57" t="inlineStr"/>
      <c r="M57" s="6">
        <f>IF(L57&lt;&gt;"",L57,_xlfn.TEXTJOIN(" · ",TRUE,IF(F57&lt;&gt;"","Fundador",""),IF(G57&lt;&gt;"","Anjo",""),IF(H57&lt;&gt;"","VC",""),IF(I57&lt;&gt;"","Gestão",""),IF(J57&lt;&gt;"","Conselho",""),IF(K57&lt;&gt;"","Buscapé","")))</f>
        <v/>
      </c>
      <c r="N57" t="inlineStr"/>
      <c r="O57" s="5" t="inlineStr">
        <is>
          <t>2019</t>
        </is>
      </c>
      <c r="P57" t="inlineStr">
        <is>
          <t>Ativa</t>
        </is>
      </c>
      <c r="Q57" s="5" t="inlineStr"/>
      <c r="R57" s="5" t="inlineStr"/>
      <c r="S57" t="inlineStr">
        <is>
          <t>https://vittude.com/</t>
        </is>
      </c>
      <c r="T57" t="inlineStr">
        <is>
          <t>https://www.crunchbase.com/organization/vittude</t>
        </is>
      </c>
      <c r="U57" t="inlineStr">
        <is>
          <t>vittude.png</t>
        </is>
      </c>
      <c r="V57" t="inlineStr"/>
      <c r="W57" t="inlineStr"/>
      <c r="X57" t="inlineStr"/>
      <c r="Y57" t="inlineStr"/>
      <c r="Z57" t="inlineStr"/>
      <c r="AA57" t="inlineStr"/>
      <c r="AB57" t="inlineStr"/>
    </row>
    <row r="58">
      <c r="A58" s="5" t="inlineStr">
        <is>
          <t>540</t>
        </is>
      </c>
      <c r="B58" s="5" t="inlineStr">
        <is>
          <t>x</t>
        </is>
      </c>
      <c r="C58" s="5" t="inlineStr"/>
      <c r="D58" t="inlineStr">
        <is>
          <t>Repassa</t>
        </is>
      </c>
      <c r="E58" t="inlineStr"/>
      <c r="F58" s="5" t="inlineStr"/>
      <c r="G58" s="5" t="inlineStr"/>
      <c r="H58" s="5" t="inlineStr">
        <is>
          <t>x</t>
        </is>
      </c>
      <c r="I58" s="5" t="inlineStr"/>
      <c r="J58" s="5" t="inlineStr"/>
      <c r="K58" s="5" t="inlineStr"/>
      <c r="L58" t="inlineStr"/>
      <c r="M58" s="6">
        <f>IF(L58&lt;&gt;"",L58,_xlfn.TEXTJOIN(" · ",TRUE,IF(F58&lt;&gt;"","Fundador",""),IF(G58&lt;&gt;"","Anjo",""),IF(H58&lt;&gt;"","VC",""),IF(I58&lt;&gt;"","Gestão",""),IF(J58&lt;&gt;"","Conselho",""),IF(K58&lt;&gt;"","Buscapé","")))</f>
        <v/>
      </c>
      <c r="N58" t="inlineStr">
        <is>
          <t>Vendida à Renner</t>
        </is>
      </c>
      <c r="O58" s="5" t="inlineStr">
        <is>
          <t>2018</t>
        </is>
      </c>
      <c r="P58" t="inlineStr">
        <is>
          <t>Saída · 2021</t>
        </is>
      </c>
      <c r="Q58" s="5" t="inlineStr">
        <is>
          <t>x</t>
        </is>
      </c>
      <c r="R58" s="5" t="inlineStr"/>
      <c r="S58" t="inlineStr">
        <is>
          <t>https://www.repassa.com.br</t>
        </is>
      </c>
      <c r="T58" t="inlineStr">
        <is>
          <t>https://www.crunchbase.com/organization/repassa</t>
        </is>
      </c>
      <c r="U58" t="inlineStr">
        <is>
          <t>repassa.png</t>
        </is>
      </c>
      <c r="V58" t="inlineStr"/>
      <c r="W58" t="inlineStr"/>
      <c r="X58" t="inlineStr"/>
      <c r="Y58" t="inlineStr">
        <is>
          <t>https://braziljournal.com/renner-compra-repassa-e-entra-no-mercado-de-usados/</t>
        </is>
      </c>
      <c r="Z58" t="inlineStr">
        <is>
          <t>Renner compra a Repassa</t>
        </is>
      </c>
      <c r="AA58" t="inlineStr">
        <is>
          <t>Brazil Journal · jul 2021</t>
        </is>
      </c>
      <c r="AB58" t="inlineStr"/>
    </row>
    <row r="59">
      <c r="A59" s="5" t="inlineStr">
        <is>
          <t>550</t>
        </is>
      </c>
      <c r="B59" s="5" t="inlineStr">
        <is>
          <t>x</t>
        </is>
      </c>
      <c r="C59" s="5" t="inlineStr"/>
      <c r="D59" t="inlineStr">
        <is>
          <t>ABFintechs</t>
        </is>
      </c>
      <c r="E59" t="inlineStr"/>
      <c r="F59" s="5" t="inlineStr"/>
      <c r="G59" s="5" t="inlineStr"/>
      <c r="H59" s="5" t="inlineStr"/>
      <c r="I59" s="5" t="inlineStr"/>
      <c r="J59" s="5" t="inlineStr">
        <is>
          <t>x</t>
        </is>
      </c>
      <c r="K59" s="5" t="inlineStr"/>
      <c r="L59" t="inlineStr"/>
      <c r="M59" s="6">
        <f>IF(L59&lt;&gt;"",L59,_xlfn.TEXTJOIN(" · ",TRUE,IF(F59&lt;&gt;"","Fundador",""),IF(G59&lt;&gt;"","Anjo",""),IF(H59&lt;&gt;"","VC",""),IF(I59&lt;&gt;"","Gestão",""),IF(J59&lt;&gt;"","Conselho",""),IF(K59&lt;&gt;"","Buscapé","")))</f>
        <v/>
      </c>
      <c r="N59" t="inlineStr"/>
      <c r="O59" s="5" t="inlineStr">
        <is>
          <t>2017</t>
        </is>
      </c>
      <c r="P59" t="inlineStr"/>
      <c r="Q59" s="5" t="inlineStr"/>
      <c r="R59" s="5" t="inlineStr"/>
      <c r="S59" t="inlineStr">
        <is>
          <t>https://www.abfintechs.com.br/</t>
        </is>
      </c>
      <c r="T59" t="inlineStr">
        <is>
          <t>https://www.crunchbase.com/organization/abfintechs</t>
        </is>
      </c>
      <c r="U59" t="inlineStr">
        <is>
          <t>abfintechs.png</t>
        </is>
      </c>
      <c r="V59" t="inlineStr"/>
      <c r="W59" t="inlineStr"/>
      <c r="X59" t="inlineStr"/>
      <c r="Y59" t="inlineStr"/>
      <c r="Z59" t="inlineStr"/>
      <c r="AA59" t="inlineStr"/>
      <c r="AB59" t="inlineStr"/>
    </row>
    <row r="60">
      <c r="A60" s="5" t="inlineStr">
        <is>
          <t>560</t>
        </is>
      </c>
      <c r="B60" s="5" t="inlineStr">
        <is>
          <t>x</t>
        </is>
      </c>
      <c r="C60" s="5" t="inlineStr"/>
      <c r="D60" t="inlineStr">
        <is>
          <t>Consulta do Bem</t>
        </is>
      </c>
      <c r="E60" t="inlineStr"/>
      <c r="F60" s="5" t="inlineStr"/>
      <c r="G60" s="5" t="inlineStr"/>
      <c r="H60" s="5" t="inlineStr">
        <is>
          <t>x</t>
        </is>
      </c>
      <c r="I60" s="5" t="inlineStr"/>
      <c r="J60" s="5" t="inlineStr"/>
      <c r="K60" s="5" t="inlineStr"/>
      <c r="L60" t="inlineStr"/>
      <c r="M60" s="6">
        <f>IF(L60&lt;&gt;"",L60,_xlfn.TEXTJOIN(" · ",TRUE,IF(F60&lt;&gt;"","Fundador",""),IF(G60&lt;&gt;"","Anjo",""),IF(H60&lt;&gt;"","VC",""),IF(I60&lt;&gt;"","Gestão",""),IF(J60&lt;&gt;"","Conselho",""),IF(K60&lt;&gt;"","Buscapé","")))</f>
        <v/>
      </c>
      <c r="N60" t="inlineStr"/>
      <c r="O60" s="5" t="inlineStr">
        <is>
          <t>2016</t>
        </is>
      </c>
      <c r="P60" t="inlineStr">
        <is>
          <t>Encerrada</t>
        </is>
      </c>
      <c r="Q60" s="5" t="inlineStr"/>
      <c r="R60" s="5" t="inlineStr"/>
      <c r="S60" t="inlineStr"/>
      <c r="T60" t="inlineStr">
        <is>
          <t>https://www.crunchbase.com/organization/consulta-do-bem</t>
        </is>
      </c>
      <c r="U60" t="inlineStr">
        <is>
          <t>consulta-do-bem.png</t>
        </is>
      </c>
      <c r="V60" t="inlineStr"/>
      <c r="W60" t="inlineStr"/>
      <c r="X60" t="inlineStr"/>
      <c r="Y60" t="inlineStr"/>
      <c r="Z60" t="inlineStr"/>
      <c r="AA60" t="inlineStr"/>
      <c r="AB60" t="inlineStr"/>
    </row>
    <row r="61">
      <c r="A61" s="5" t="inlineStr">
        <is>
          <t>570</t>
        </is>
      </c>
      <c r="B61" s="5" t="inlineStr">
        <is>
          <t>x</t>
        </is>
      </c>
      <c r="C61" s="5" t="inlineStr"/>
      <c r="D61" t="inlineStr">
        <is>
          <t>Cortex</t>
        </is>
      </c>
      <c r="E61" t="inlineStr"/>
      <c r="F61" s="5" t="inlineStr"/>
      <c r="G61" s="5" t="inlineStr"/>
      <c r="H61" s="5" t="inlineStr">
        <is>
          <t>x</t>
        </is>
      </c>
      <c r="I61" s="5" t="inlineStr"/>
      <c r="J61" s="5" t="inlineStr">
        <is>
          <t>x</t>
        </is>
      </c>
      <c r="K61" s="5" t="inlineStr"/>
      <c r="L61" t="inlineStr"/>
      <c r="M61" s="6">
        <f>IF(L61&lt;&gt;"",L61,_xlfn.TEXTJOIN(" · ",TRUE,IF(F61&lt;&gt;"","Fundador",""),IF(G61&lt;&gt;"","Anjo",""),IF(H61&lt;&gt;"","VC",""),IF(I61&lt;&gt;"","Gestão",""),IF(J61&lt;&gt;"","Conselho",""),IF(K61&lt;&gt;"","Buscapé","")))</f>
        <v/>
      </c>
      <c r="N61" t="inlineStr"/>
      <c r="O61" s="5" t="inlineStr">
        <is>
          <t>2015</t>
        </is>
      </c>
      <c r="P61" t="inlineStr">
        <is>
          <t>Ativa</t>
        </is>
      </c>
      <c r="Q61" s="5" t="inlineStr"/>
      <c r="R61" s="5" t="inlineStr"/>
      <c r="S61" t="inlineStr">
        <is>
          <t>https://www.cortex-intelligence.com/en/</t>
        </is>
      </c>
      <c r="T61" t="inlineStr">
        <is>
          <t>https://www.crunchbase.com/organization/cortex-intelligence</t>
        </is>
      </c>
      <c r="U61" t="inlineStr">
        <is>
          <t>cortex.png</t>
        </is>
      </c>
      <c r="V61" t="inlineStr"/>
      <c r="W61" t="inlineStr"/>
      <c r="X61" t="inlineStr"/>
      <c r="Y61" t="inlineStr"/>
      <c r="Z61" t="inlineStr"/>
      <c r="AA61" t="inlineStr"/>
      <c r="AB61" t="inlineStr">
        <is>
          <t>Via Redpoint eventures; conselho desde nov 2015 (Crunchbase).</t>
        </is>
      </c>
    </row>
    <row r="62">
      <c r="A62" s="5" t="inlineStr">
        <is>
          <t>620</t>
        </is>
      </c>
      <c r="B62" s="5" t="inlineStr">
        <is>
          <t>x</t>
        </is>
      </c>
      <c r="C62" s="5" t="inlineStr"/>
      <c r="D62" t="inlineStr">
        <is>
          <t>In Loco</t>
        </is>
      </c>
      <c r="E62" t="inlineStr"/>
      <c r="F62" s="5" t="inlineStr"/>
      <c r="G62" s="5" t="inlineStr"/>
      <c r="H62" s="5" t="inlineStr"/>
      <c r="I62" s="5" t="inlineStr"/>
      <c r="J62" s="5" t="inlineStr"/>
      <c r="K62" s="5" t="inlineStr">
        <is>
          <t>x</t>
        </is>
      </c>
      <c r="L62" t="inlineStr"/>
      <c r="M62" s="6">
        <f>IF(L62&lt;&gt;"",L62,_xlfn.TEXTJOIN(" · ",TRUE,IF(F62&lt;&gt;"","Fundador",""),IF(G62&lt;&gt;"","Anjo",""),IF(H62&lt;&gt;"","VC",""),IF(I62&lt;&gt;"","Gestão",""),IF(J62&lt;&gt;"","Conselho",""),IF(K62&lt;&gt;"","Buscapé","")))</f>
        <v/>
      </c>
      <c r="N62" t="inlineStr"/>
      <c r="O62" s="5" t="inlineStr">
        <is>
          <t>2014</t>
        </is>
      </c>
      <c r="P62" t="inlineStr">
        <is>
          <t>Encerrada</t>
        </is>
      </c>
      <c r="Q62" s="5" t="inlineStr"/>
      <c r="R62" s="5" t="inlineStr"/>
      <c r="S62" t="inlineStr">
        <is>
          <t>https://www.incognia.com/</t>
        </is>
      </c>
      <c r="T62" t="inlineStr">
        <is>
          <t>https://www.crunchbase.com/organization/ubee</t>
        </is>
      </c>
      <c r="U62" t="inlineStr">
        <is>
          <t>in-loco.png</t>
        </is>
      </c>
      <c r="V62" t="inlineStr"/>
      <c r="W62" t="inlineStr"/>
      <c r="X62" t="inlineStr"/>
      <c r="Y62" t="inlineStr"/>
      <c r="Z62" t="inlineStr"/>
      <c r="AA62" t="inlineStr"/>
      <c r="AB62" t="inlineStr"/>
    </row>
    <row r="63">
      <c r="A63" s="5" t="inlineStr">
        <is>
          <t>640</t>
        </is>
      </c>
      <c r="B63" s="5" t="inlineStr">
        <is>
          <t>x</t>
        </is>
      </c>
      <c r="C63" s="5" t="inlineStr"/>
      <c r="D63" t="inlineStr">
        <is>
          <t>PayU</t>
        </is>
      </c>
      <c r="E63" t="inlineStr"/>
      <c r="F63" s="5" t="inlineStr"/>
      <c r="G63" s="5" t="inlineStr"/>
      <c r="H63" s="5" t="inlineStr"/>
      <c r="I63" s="5" t="inlineStr"/>
      <c r="J63" s="5" t="inlineStr">
        <is>
          <t>x</t>
        </is>
      </c>
      <c r="K63" s="5" t="inlineStr"/>
      <c r="L63" t="inlineStr"/>
      <c r="M63" s="6">
        <f>IF(L63&lt;&gt;"",L63,_xlfn.TEXTJOIN(" · ",TRUE,IF(F63&lt;&gt;"","Fundador",""),IF(G63&lt;&gt;"","Anjo",""),IF(H63&lt;&gt;"","VC",""),IF(I63&lt;&gt;"","Gestão",""),IF(J63&lt;&gt;"","Conselho",""),IF(K63&lt;&gt;"","Buscapé","")))</f>
        <v/>
      </c>
      <c r="N63" t="inlineStr"/>
      <c r="O63" s="5" t="inlineStr">
        <is>
          <t>2014</t>
        </is>
      </c>
      <c r="P63" t="inlineStr"/>
      <c r="Q63" s="5" t="inlineStr"/>
      <c r="R63" s="5" t="inlineStr"/>
      <c r="S63" t="inlineStr">
        <is>
          <t>https://corporate.payu.com</t>
        </is>
      </c>
      <c r="T63" t="inlineStr">
        <is>
          <t>https://www.crunchbase.com/organization/payu</t>
        </is>
      </c>
      <c r="U63" t="inlineStr">
        <is>
          <t>payu.png</t>
        </is>
      </c>
      <c r="V63" t="inlineStr"/>
      <c r="W63" t="inlineStr"/>
      <c r="X63" t="inlineStr"/>
      <c r="Y63" t="inlineStr"/>
      <c r="Z63" t="inlineStr"/>
      <c r="AA63" t="inlineStr"/>
      <c r="AB63" t="inlineStr"/>
    </row>
    <row r="64">
      <c r="A64" s="5" t="inlineStr">
        <is>
          <t>720</t>
        </is>
      </c>
      <c r="B64" s="5" t="inlineStr"/>
      <c r="C64" s="5" t="inlineStr"/>
      <c r="D64" t="inlineStr">
        <is>
          <t>Btarget</t>
        </is>
      </c>
      <c r="E64" t="inlineStr"/>
      <c r="F64" s="5" t="inlineStr"/>
      <c r="G64" s="5" t="inlineStr"/>
      <c r="H64" s="5" t="inlineStr"/>
      <c r="I64" s="5" t="inlineStr"/>
      <c r="J64" s="5" t="inlineStr"/>
      <c r="K64" s="5" t="inlineStr">
        <is>
          <t>x</t>
        </is>
      </c>
      <c r="L64" t="inlineStr"/>
      <c r="M64" s="6">
        <f>IF(L64&lt;&gt;"",L64,_xlfn.TEXTJOIN(" · ",TRUE,IF(F64&lt;&gt;"","Fundador",""),IF(G64&lt;&gt;"","Anjo",""),IF(H64&lt;&gt;"","VC",""),IF(I64&lt;&gt;"","Gestão",""),IF(J64&lt;&gt;"","Conselho",""),IF(K64&lt;&gt;"","Buscapé","")))</f>
        <v/>
      </c>
      <c r="N64" t="inlineStr"/>
      <c r="O64" s="5" t="inlineStr">
        <is>
          <t>2013</t>
        </is>
      </c>
      <c r="P64" t="inlineStr">
        <is>
          <t>Encerrada</t>
        </is>
      </c>
      <c r="Q64" s="5" t="inlineStr"/>
      <c r="R64" s="5" t="inlineStr"/>
      <c r="S64" t="inlineStr"/>
      <c r="T64" t="inlineStr"/>
      <c r="U64" t="inlineStr"/>
      <c r="V64" t="inlineStr"/>
      <c r="W64" t="inlineStr"/>
      <c r="X64" t="inlineStr"/>
      <c r="Y64" t="inlineStr">
        <is>
          <t>https://retail.economictimes.indiatimes.com/news/e-commerce/e-tailing/ibibo-sells-online-payment-unit-payu-india-to-naspers/30471071</t>
        </is>
      </c>
      <c r="Z64" t="inlineStr"/>
      <c r="AA64" t="inlineStr"/>
      <c r="AB64" t="inlineStr"/>
    </row>
    <row r="65">
      <c r="A65" s="5" t="inlineStr">
        <is>
          <t>730</t>
        </is>
      </c>
      <c r="B65" s="5" t="inlineStr">
        <is>
          <t>x</t>
        </is>
      </c>
      <c r="C65" s="5" t="inlineStr"/>
      <c r="D65" t="inlineStr">
        <is>
          <t>Cuponeria</t>
        </is>
      </c>
      <c r="E65" t="inlineStr"/>
      <c r="F65" s="5" t="inlineStr"/>
      <c r="G65" s="5" t="inlineStr"/>
      <c r="H65" s="5" t="inlineStr"/>
      <c r="I65" s="5" t="inlineStr"/>
      <c r="J65" s="5" t="inlineStr"/>
      <c r="K65" s="5" t="inlineStr">
        <is>
          <t>x</t>
        </is>
      </c>
      <c r="L65" t="inlineStr"/>
      <c r="M65" s="6">
        <f>IF(L65&lt;&gt;"",L65,_xlfn.TEXTJOIN(" · ",TRUE,IF(F65&lt;&gt;"","Fundador",""),IF(G65&lt;&gt;"","Anjo",""),IF(H65&lt;&gt;"","VC",""),IF(I65&lt;&gt;"","Gestão",""),IF(J65&lt;&gt;"","Conselho",""),IF(K65&lt;&gt;"","Buscapé","")))</f>
        <v/>
      </c>
      <c r="N65" t="inlineStr"/>
      <c r="O65" s="5" t="inlineStr">
        <is>
          <t>2012</t>
        </is>
      </c>
      <c r="P65" t="inlineStr">
        <is>
          <t>Saída</t>
        </is>
      </c>
      <c r="Q65" s="5" t="inlineStr">
        <is>
          <t>x</t>
        </is>
      </c>
      <c r="R65" s="5" t="inlineStr"/>
      <c r="S65" t="inlineStr">
        <is>
          <t>https://www.cuponeria.com.br</t>
        </is>
      </c>
      <c r="T65" t="inlineStr">
        <is>
          <t>https://www.crunchbase.com/organization/cuponeria</t>
        </is>
      </c>
      <c r="U65" t="inlineStr">
        <is>
          <t>cuponeria.png</t>
        </is>
      </c>
      <c r="V65" t="inlineStr"/>
      <c r="W65" t="inlineStr"/>
      <c r="X65" t="inlineStr"/>
      <c r="Y65" t="inlineStr"/>
      <c r="Z65" t="inlineStr"/>
      <c r="AA65" t="inlineStr"/>
      <c r="AB65" t="inlineStr"/>
    </row>
    <row r="66">
      <c r="A66" s="5" t="inlineStr">
        <is>
          <t>740</t>
        </is>
      </c>
      <c r="B66" s="5" t="inlineStr">
        <is>
          <t>x</t>
        </is>
      </c>
      <c r="C66" s="5" t="inlineStr"/>
      <c r="D66" t="inlineStr">
        <is>
          <t>Redpoint e.ventures</t>
        </is>
      </c>
      <c r="E66" t="inlineStr"/>
      <c r="F66" s="5" t="inlineStr"/>
      <c r="G66" s="5" t="inlineStr"/>
      <c r="H66" s="5" t="inlineStr"/>
      <c r="I66" s="5" t="inlineStr">
        <is>
          <t>x</t>
        </is>
      </c>
      <c r="J66" s="5" t="inlineStr"/>
      <c r="K66" s="5" t="inlineStr"/>
      <c r="L66" t="inlineStr">
        <is>
          <t>Sócio de Gestora</t>
        </is>
      </c>
      <c r="M66" s="6">
        <f>IF(L66&lt;&gt;"",L66,_xlfn.TEXTJOIN(" · ",TRUE,IF(F66&lt;&gt;"","Fundador",""),IF(G66&lt;&gt;"","Anjo",""),IF(H66&lt;&gt;"","VC",""),IF(I66&lt;&gt;"","Gestão",""),IF(J66&lt;&gt;"","Conselho",""),IF(K66&lt;&gt;"","Buscapé","")))</f>
        <v/>
      </c>
      <c r="N66" t="inlineStr"/>
      <c r="O66" s="5" t="inlineStr">
        <is>
          <t>2012</t>
        </is>
      </c>
      <c r="P66" t="inlineStr"/>
      <c r="Q66" s="5" t="inlineStr"/>
      <c r="R66" s="5" t="inlineStr"/>
      <c r="S66" t="inlineStr">
        <is>
          <t>https://rpev.com.br/</t>
        </is>
      </c>
      <c r="T66" t="inlineStr">
        <is>
          <t>https://www.crunchbase.com/organization/redpoint-eventures</t>
        </is>
      </c>
      <c r="U66" t="inlineStr">
        <is>
          <t>redpoint-eventures.png</t>
        </is>
      </c>
      <c r="V66" t="inlineStr"/>
      <c r="W66" t="inlineStr"/>
      <c r="X66" t="inlineStr"/>
      <c r="Y66" t="inlineStr">
        <is>
          <t>https://www.nytimes.com/2015/11/11/business/dealbook/redpoint-joint-venture-in-brazil-adds-romero-rodrigues-a-top-entrepreneur.html</t>
        </is>
      </c>
      <c r="Z66" t="inlineStr">
        <is>
          <t>Redpoint Joint Venture in Brazil Adds Romero Rodrigues, a Top Entrepreneur</t>
        </is>
      </c>
      <c r="AA66" t="inlineStr">
        <is>
          <t>New York Times · nov 2015</t>
        </is>
      </c>
      <c r="AB66" t="inlineStr"/>
    </row>
    <row r="67">
      <c r="A67" s="5" t="inlineStr">
        <is>
          <t>750</t>
        </is>
      </c>
      <c r="B67" s="5" t="inlineStr">
        <is>
          <t>x</t>
        </is>
      </c>
      <c r="C67" s="5" t="inlineStr"/>
      <c r="D67" t="inlineStr">
        <is>
          <t>Shopcliq</t>
        </is>
      </c>
      <c r="E67" t="inlineStr"/>
      <c r="F67" s="5" t="inlineStr"/>
      <c r="G67" s="5" t="inlineStr"/>
      <c r="H67" s="5" t="inlineStr"/>
      <c r="I67" s="5" t="inlineStr"/>
      <c r="J67" s="5" t="inlineStr"/>
      <c r="K67" s="5" t="inlineStr">
        <is>
          <t>x</t>
        </is>
      </c>
      <c r="L67" t="inlineStr"/>
      <c r="M67" s="6">
        <f>IF(L67&lt;&gt;"",L67,_xlfn.TEXTJOIN(" · ",TRUE,IF(F67&lt;&gt;"","Fundador",""),IF(G67&lt;&gt;"","Anjo",""),IF(H67&lt;&gt;"","VC",""),IF(I67&lt;&gt;"","Gestão",""),IF(J67&lt;&gt;"","Conselho",""),IF(K67&lt;&gt;"","Buscapé","")))</f>
        <v/>
      </c>
      <c r="N67" t="inlineStr"/>
      <c r="O67" s="5" t="inlineStr">
        <is>
          <t>2012</t>
        </is>
      </c>
      <c r="P67" t="inlineStr">
        <is>
          <t>Encerrada</t>
        </is>
      </c>
      <c r="Q67" s="5" t="inlineStr"/>
      <c r="R67" s="5" t="inlineStr"/>
      <c r="S67" t="inlineStr"/>
      <c r="T67" t="inlineStr">
        <is>
          <t>https://www.crunchbase.com/organization/shopcliq</t>
        </is>
      </c>
      <c r="U67" t="inlineStr">
        <is>
          <t>shopcliq.png</t>
        </is>
      </c>
      <c r="V67" t="inlineStr"/>
      <c r="W67" t="inlineStr"/>
      <c r="X67" t="inlineStr"/>
      <c r="Y67" t="inlineStr"/>
      <c r="Z67" t="inlineStr"/>
      <c r="AA67" t="inlineStr"/>
      <c r="AB67" t="inlineStr"/>
    </row>
    <row r="68">
      <c r="A68" s="5" t="inlineStr">
        <is>
          <t>760</t>
        </is>
      </c>
      <c r="B68" s="5" t="inlineStr">
        <is>
          <t>x</t>
        </is>
      </c>
      <c r="C68" s="5" t="inlineStr"/>
      <c r="D68" t="inlineStr">
        <is>
          <t>Brandsclub</t>
        </is>
      </c>
      <c r="E68" t="inlineStr"/>
      <c r="F68" s="5" t="inlineStr"/>
      <c r="G68" s="5" t="inlineStr"/>
      <c r="H68" s="5" t="inlineStr"/>
      <c r="I68" s="5" t="inlineStr"/>
      <c r="J68" s="5" t="inlineStr"/>
      <c r="K68" s="5" t="inlineStr">
        <is>
          <t>x</t>
        </is>
      </c>
      <c r="L68" t="inlineStr"/>
      <c r="M68" s="6">
        <f>IF(L68&lt;&gt;"",L68,_xlfn.TEXTJOIN(" · ",TRUE,IF(F68&lt;&gt;"","Fundador",""),IF(G68&lt;&gt;"","Anjo",""),IF(H68&lt;&gt;"","VC",""),IF(I68&lt;&gt;"","Gestão",""),IF(J68&lt;&gt;"","Conselho",""),IF(K68&lt;&gt;"","Buscapé","")))</f>
        <v/>
      </c>
      <c r="N68" t="inlineStr"/>
      <c r="O68" s="5" t="inlineStr">
        <is>
          <t>2011</t>
        </is>
      </c>
      <c r="P68" t="inlineStr">
        <is>
          <t>Encerrada</t>
        </is>
      </c>
      <c r="Q68" s="5" t="inlineStr"/>
      <c r="R68" s="5" t="inlineStr"/>
      <c r="S68" t="inlineStr"/>
      <c r="T68" t="inlineStr">
        <is>
          <t>https://www.crunchbase.com/organization/brandsclub</t>
        </is>
      </c>
      <c r="U68" t="inlineStr">
        <is>
          <t>brandsclub.png</t>
        </is>
      </c>
      <c r="V68" t="inlineStr"/>
      <c r="W68" t="inlineStr"/>
      <c r="X68" t="inlineStr"/>
      <c r="Y68" t="inlineStr"/>
      <c r="Z68" t="inlineStr"/>
      <c r="AA68" t="inlineStr"/>
      <c r="AB68" t="inlineStr"/>
    </row>
    <row r="69">
      <c r="A69" s="5" t="inlineStr">
        <is>
          <t>770</t>
        </is>
      </c>
      <c r="B69" s="5" t="inlineStr">
        <is>
          <t>x</t>
        </is>
      </c>
      <c r="C69" s="5" t="inlineStr"/>
      <c r="D69" t="inlineStr">
        <is>
          <t>DineroMail</t>
        </is>
      </c>
      <c r="E69" t="inlineStr"/>
      <c r="F69" s="5" t="inlineStr"/>
      <c r="G69" s="5" t="inlineStr"/>
      <c r="H69" s="5" t="inlineStr"/>
      <c r="I69" s="5" t="inlineStr"/>
      <c r="J69" s="5" t="inlineStr"/>
      <c r="K69" s="5" t="inlineStr">
        <is>
          <t>x</t>
        </is>
      </c>
      <c r="L69" t="inlineStr"/>
      <c r="M69" s="6">
        <f>IF(L69&lt;&gt;"",L69,_xlfn.TEXTJOIN(" · ",TRUE,IF(F69&lt;&gt;"","Fundador",""),IF(G69&lt;&gt;"","Anjo",""),IF(H69&lt;&gt;"","VC",""),IF(I69&lt;&gt;"","Gestão",""),IF(J69&lt;&gt;"","Conselho",""),IF(K69&lt;&gt;"","Buscapé","")))</f>
        <v/>
      </c>
      <c r="N69" t="inlineStr">
        <is>
          <t>Fundida com PayU</t>
        </is>
      </c>
      <c r="O69" s="5" t="inlineStr">
        <is>
          <t>2011</t>
        </is>
      </c>
      <c r="P69" t="inlineStr">
        <is>
          <t>Saída</t>
        </is>
      </c>
      <c r="Q69" s="5" t="inlineStr">
        <is>
          <t>x</t>
        </is>
      </c>
      <c r="R69" s="5" t="inlineStr"/>
      <c r="S69" t="inlineStr"/>
      <c r="T69" t="inlineStr">
        <is>
          <t>https://www.crunchbase.com/organization/dineromail</t>
        </is>
      </c>
      <c r="U69" t="inlineStr">
        <is>
          <t>dineromail.png</t>
        </is>
      </c>
      <c r="V69" t="inlineStr"/>
      <c r="W69" t="inlineStr"/>
      <c r="X69" t="inlineStr"/>
      <c r="Y69" t="inlineStr"/>
      <c r="Z69" t="inlineStr"/>
      <c r="AA69" t="inlineStr"/>
      <c r="AB69" t="inlineStr"/>
    </row>
    <row r="70">
      <c r="A70" s="5" t="inlineStr">
        <is>
          <t>780</t>
        </is>
      </c>
      <c r="B70" s="5" t="inlineStr">
        <is>
          <t>x</t>
        </is>
      </c>
      <c r="C70" s="5" t="inlineStr"/>
      <c r="D70" t="inlineStr">
        <is>
          <t>MeuCarrinho</t>
        </is>
      </c>
      <c r="E70" t="inlineStr"/>
      <c r="F70" s="5" t="inlineStr"/>
      <c r="G70" s="5" t="inlineStr"/>
      <c r="H70" s="5" t="inlineStr"/>
      <c r="I70" s="5" t="inlineStr"/>
      <c r="J70" s="5" t="inlineStr"/>
      <c r="K70" s="5" t="inlineStr">
        <is>
          <t>x</t>
        </is>
      </c>
      <c r="L70" t="inlineStr"/>
      <c r="M70" s="6">
        <f>IF(L70&lt;&gt;"",L70,_xlfn.TEXTJOIN(" · ",TRUE,IF(F70&lt;&gt;"","Fundador",""),IF(G70&lt;&gt;"","Anjo",""),IF(H70&lt;&gt;"","VC",""),IF(I70&lt;&gt;"","Gestão",""),IF(J70&lt;&gt;"","Conselho",""),IF(K70&lt;&gt;"","Buscapé","")))</f>
        <v/>
      </c>
      <c r="N70" t="inlineStr"/>
      <c r="O70" s="5" t="inlineStr">
        <is>
          <t>2011</t>
        </is>
      </c>
      <c r="P70" t="inlineStr">
        <is>
          <t>Encerrada</t>
        </is>
      </c>
      <c r="Q70" s="5" t="inlineStr"/>
      <c r="R70" s="5" t="inlineStr"/>
      <c r="S70" t="inlineStr"/>
      <c r="T70" t="inlineStr">
        <is>
          <t>https://www.crunchbase.com/organization/meucarrinho</t>
        </is>
      </c>
      <c r="U70" t="inlineStr">
        <is>
          <t>meucarrinho.png</t>
        </is>
      </c>
      <c r="V70" t="inlineStr"/>
      <c r="W70" t="inlineStr"/>
      <c r="X70" t="inlineStr"/>
      <c r="Y70" t="inlineStr"/>
      <c r="Z70" t="inlineStr"/>
      <c r="AA70" t="inlineStr"/>
      <c r="AB70" t="inlineStr"/>
    </row>
    <row r="71">
      <c r="A71" s="5" t="inlineStr">
        <is>
          <t>790</t>
        </is>
      </c>
      <c r="B71" s="5" t="inlineStr">
        <is>
          <t>x</t>
        </is>
      </c>
      <c r="C71" s="5" t="inlineStr"/>
      <c r="D71" t="inlineStr">
        <is>
          <t>Moda It</t>
        </is>
      </c>
      <c r="E71" t="inlineStr"/>
      <c r="F71" s="5" t="inlineStr"/>
      <c r="G71" s="5" t="inlineStr"/>
      <c r="H71" s="5" t="inlineStr"/>
      <c r="I71" s="5" t="inlineStr"/>
      <c r="J71" s="5" t="inlineStr"/>
      <c r="K71" s="5" t="inlineStr">
        <is>
          <t>x</t>
        </is>
      </c>
      <c r="L71" t="inlineStr"/>
      <c r="M71" s="6">
        <f>IF(L71&lt;&gt;"",L71,_xlfn.TEXTJOIN(" · ",TRUE,IF(F71&lt;&gt;"","Fundador",""),IF(G71&lt;&gt;"","Anjo",""),IF(H71&lt;&gt;"","VC",""),IF(I71&lt;&gt;"","Gestão",""),IF(J71&lt;&gt;"","Conselho",""),IF(K71&lt;&gt;"","Buscapé","")))</f>
        <v/>
      </c>
      <c r="N71" t="inlineStr"/>
      <c r="O71" s="5" t="inlineStr">
        <is>
          <t>2011</t>
        </is>
      </c>
      <c r="P71" t="inlineStr">
        <is>
          <t>Encerrada</t>
        </is>
      </c>
      <c r="Q71" s="5" t="inlineStr"/>
      <c r="R71" s="5" t="inlineStr"/>
      <c r="S71" t="inlineStr">
        <is>
          <t>https://modait.com.br/</t>
        </is>
      </c>
      <c r="T71" t="inlineStr">
        <is>
          <t>https://www.crunchbase.com/organization/moda-it</t>
        </is>
      </c>
      <c r="U71" t="inlineStr">
        <is>
          <t>moda-it.png</t>
        </is>
      </c>
      <c r="V71" t="inlineStr"/>
      <c r="W71" t="inlineStr"/>
      <c r="X71" t="inlineStr"/>
      <c r="Y71" t="inlineStr"/>
      <c r="Z71" t="inlineStr"/>
      <c r="AA71" t="inlineStr"/>
      <c r="AB71" t="inlineStr"/>
    </row>
    <row r="72">
      <c r="A72" s="5" t="inlineStr">
        <is>
          <t>800</t>
        </is>
      </c>
      <c r="B72" s="5" t="inlineStr">
        <is>
          <t>x</t>
        </is>
      </c>
      <c r="C72" s="5" t="inlineStr"/>
      <c r="D72" t="inlineStr">
        <is>
          <t>Navegg</t>
        </is>
      </c>
      <c r="E72" t="inlineStr"/>
      <c r="F72" s="5" t="inlineStr"/>
      <c r="G72" s="5" t="inlineStr"/>
      <c r="H72" s="5" t="inlineStr"/>
      <c r="I72" s="5" t="inlineStr"/>
      <c r="J72" s="5" t="inlineStr"/>
      <c r="K72" s="5" t="inlineStr">
        <is>
          <t>x</t>
        </is>
      </c>
      <c r="L72" t="inlineStr"/>
      <c r="M72" s="6">
        <f>IF(L72&lt;&gt;"",L72,_xlfn.TEXTJOIN(" · ",TRUE,IF(F72&lt;&gt;"","Fundador",""),IF(G72&lt;&gt;"","Anjo",""),IF(H72&lt;&gt;"","VC",""),IF(I72&lt;&gt;"","Gestão",""),IF(J72&lt;&gt;"","Conselho",""),IF(K72&lt;&gt;"","Buscapé","")))</f>
        <v/>
      </c>
      <c r="N72" t="inlineStr">
        <is>
          <t>Vendida à Dentsu</t>
        </is>
      </c>
      <c r="O72" s="5" t="inlineStr">
        <is>
          <t>2011</t>
        </is>
      </c>
      <c r="P72" t="inlineStr">
        <is>
          <t>Saída · 2015</t>
        </is>
      </c>
      <c r="Q72" s="5" t="inlineStr">
        <is>
          <t>x</t>
        </is>
      </c>
      <c r="R72" s="5" t="inlineStr"/>
      <c r="S72" t="inlineStr">
        <is>
          <t>https://www.navegg.com/br</t>
        </is>
      </c>
      <c r="T72" t="inlineStr">
        <is>
          <t>https://www.crunchbase.com/organization/navegg</t>
        </is>
      </c>
      <c r="U72" t="inlineStr">
        <is>
          <t>navegg.png</t>
        </is>
      </c>
      <c r="V72" t="inlineStr"/>
      <c r="W72" t="inlineStr"/>
      <c r="X72" t="inlineStr"/>
      <c r="Y72" t="inlineStr"/>
      <c r="Z72" t="inlineStr"/>
      <c r="AA72" t="inlineStr"/>
      <c r="AB72" t="inlineStr"/>
    </row>
    <row r="73">
      <c r="A73" s="5" t="inlineStr">
        <is>
          <t>810</t>
        </is>
      </c>
      <c r="B73" s="5" t="inlineStr">
        <is>
          <t>x</t>
        </is>
      </c>
      <c r="C73" s="5" t="inlineStr"/>
      <c r="D73" t="inlineStr">
        <is>
          <t>Recomind.net</t>
        </is>
      </c>
      <c r="E73" t="inlineStr"/>
      <c r="F73" s="5" t="inlineStr"/>
      <c r="G73" s="5" t="inlineStr"/>
      <c r="H73" s="5" t="inlineStr"/>
      <c r="I73" s="5" t="inlineStr"/>
      <c r="J73" s="5" t="inlineStr"/>
      <c r="K73" s="5" t="inlineStr">
        <is>
          <t>x</t>
        </is>
      </c>
      <c r="L73" t="inlineStr"/>
      <c r="M73" s="6">
        <f>IF(L73&lt;&gt;"",L73,_xlfn.TEXTJOIN(" · ",TRUE,IF(F73&lt;&gt;"","Fundador",""),IF(G73&lt;&gt;"","Anjo",""),IF(H73&lt;&gt;"","VC",""),IF(I73&lt;&gt;"","Gestão",""),IF(J73&lt;&gt;"","Conselho",""),IF(K73&lt;&gt;"","Buscapé","")))</f>
        <v/>
      </c>
      <c r="N73" t="inlineStr"/>
      <c r="O73" s="5" t="inlineStr">
        <is>
          <t>2011</t>
        </is>
      </c>
      <c r="P73" t="inlineStr">
        <is>
          <t>Encerrada</t>
        </is>
      </c>
      <c r="Q73" s="5" t="inlineStr"/>
      <c r="R73" s="5" t="inlineStr"/>
      <c r="S73" t="inlineStr"/>
      <c r="T73" t="inlineStr">
        <is>
          <t>https://www.crunchbase.com/organization/recomind-net</t>
        </is>
      </c>
      <c r="U73" t="inlineStr"/>
      <c r="V73" t="inlineStr"/>
      <c r="W73" t="inlineStr"/>
      <c r="X73" t="inlineStr"/>
      <c r="Y73" t="inlineStr"/>
      <c r="Z73" t="inlineStr"/>
      <c r="AA73" t="inlineStr"/>
      <c r="AB73" t="inlineStr"/>
    </row>
    <row r="74">
      <c r="A74" s="5" t="inlineStr">
        <is>
          <t>820</t>
        </is>
      </c>
      <c r="B74" s="5" t="inlineStr">
        <is>
          <t>x</t>
        </is>
      </c>
      <c r="C74" s="5" t="inlineStr"/>
      <c r="D74" t="inlineStr">
        <is>
          <t>Urbanizo</t>
        </is>
      </c>
      <c r="E74" t="inlineStr"/>
      <c r="F74" s="5" t="inlineStr"/>
      <c r="G74" s="5" t="inlineStr"/>
      <c r="H74" s="5" t="inlineStr"/>
      <c r="I74" s="5" t="inlineStr"/>
      <c r="J74" s="5" t="inlineStr"/>
      <c r="K74" s="5" t="inlineStr">
        <is>
          <t>x</t>
        </is>
      </c>
      <c r="L74" t="inlineStr"/>
      <c r="M74" s="6">
        <f>IF(L74&lt;&gt;"",L74,_xlfn.TEXTJOIN(" · ",TRUE,IF(F74&lt;&gt;"","Fundador",""),IF(G74&lt;&gt;"","Anjo",""),IF(H74&lt;&gt;"","VC",""),IF(I74&lt;&gt;"","Gestão",""),IF(J74&lt;&gt;"","Conselho",""),IF(K74&lt;&gt;"","Buscapé","")))</f>
        <v/>
      </c>
      <c r="N74" t="inlineStr"/>
      <c r="O74" s="5" t="inlineStr">
        <is>
          <t>2011</t>
        </is>
      </c>
      <c r="P74" t="inlineStr">
        <is>
          <t>Encerrada</t>
        </is>
      </c>
      <c r="Q74" s="5" t="inlineStr"/>
      <c r="R74" s="5" t="inlineStr"/>
      <c r="S74" t="inlineStr"/>
      <c r="T74" t="inlineStr">
        <is>
          <t>https://www.crunchbase.com/organization/urbanizo</t>
        </is>
      </c>
      <c r="U74" t="inlineStr">
        <is>
          <t>urbanizo.png</t>
        </is>
      </c>
      <c r="V74" t="inlineStr"/>
      <c r="W74" t="inlineStr"/>
      <c r="X74" t="inlineStr"/>
      <c r="Y74" t="inlineStr"/>
      <c r="Z74" t="inlineStr"/>
      <c r="AA74" t="inlineStr"/>
      <c r="AB74" t="inlineStr"/>
    </row>
    <row r="75">
      <c r="A75" s="5" t="inlineStr">
        <is>
          <t>830</t>
        </is>
      </c>
      <c r="B75" s="5" t="inlineStr">
        <is>
          <t>x</t>
        </is>
      </c>
      <c r="C75" s="5" t="inlineStr"/>
      <c r="D75" t="inlineStr">
        <is>
          <t>PagosOnline</t>
        </is>
      </c>
      <c r="E75" t="inlineStr"/>
      <c r="F75" s="5" t="inlineStr"/>
      <c r="G75" s="5" t="inlineStr"/>
      <c r="H75" s="5" t="inlineStr"/>
      <c r="I75" s="5" t="inlineStr"/>
      <c r="J75" s="5" t="inlineStr"/>
      <c r="K75" s="5" t="inlineStr">
        <is>
          <t>x</t>
        </is>
      </c>
      <c r="L75" t="inlineStr"/>
      <c r="M75" s="6">
        <f>IF(L75&lt;&gt;"",L75,_xlfn.TEXTJOIN(" · ",TRUE,IF(F75&lt;&gt;"","Fundador",""),IF(G75&lt;&gt;"","Anjo",""),IF(H75&lt;&gt;"","VC",""),IF(I75&lt;&gt;"","Gestão",""),IF(J75&lt;&gt;"","Conselho",""),IF(K75&lt;&gt;"","Buscapé","")))</f>
        <v/>
      </c>
      <c r="N75" t="inlineStr">
        <is>
          <t>Fundida com PayU</t>
        </is>
      </c>
      <c r="O75" s="5" t="inlineStr">
        <is>
          <t>2010</t>
        </is>
      </c>
      <c r="P75" t="inlineStr">
        <is>
          <t>Saída</t>
        </is>
      </c>
      <c r="Q75" s="5" t="inlineStr">
        <is>
          <t>x</t>
        </is>
      </c>
      <c r="R75" s="5" t="inlineStr"/>
      <c r="S75" t="inlineStr"/>
      <c r="T75" t="inlineStr">
        <is>
          <t>https://www.crunchbase.com/organization/pagosonline</t>
        </is>
      </c>
      <c r="U75" t="inlineStr">
        <is>
          <t>pagosonline.png</t>
        </is>
      </c>
      <c r="V75" t="inlineStr"/>
      <c r="W75" t="inlineStr"/>
      <c r="X75" t="inlineStr"/>
      <c r="Y75" t="inlineStr"/>
      <c r="Z75" t="inlineStr"/>
      <c r="AA75" t="inlineStr"/>
      <c r="AB75" t="inlineStr"/>
    </row>
    <row r="76">
      <c r="A76" s="5" t="inlineStr">
        <is>
          <t>840</t>
        </is>
      </c>
      <c r="B76" s="5" t="inlineStr">
        <is>
          <t>x</t>
        </is>
      </c>
      <c r="C76" s="5" t="inlineStr"/>
      <c r="D76" t="inlineStr">
        <is>
          <t>SaveMe</t>
        </is>
      </c>
      <c r="E76" t="inlineStr"/>
      <c r="F76" s="5" t="inlineStr"/>
      <c r="G76" s="5" t="inlineStr"/>
      <c r="H76" s="5" t="inlineStr"/>
      <c r="I76" s="5" t="inlineStr"/>
      <c r="J76" s="5" t="inlineStr"/>
      <c r="K76" s="5" t="inlineStr">
        <is>
          <t>x</t>
        </is>
      </c>
      <c r="L76" t="inlineStr"/>
      <c r="M76" s="6">
        <f>IF(L76&lt;&gt;"",L76,_xlfn.TEXTJOIN(" · ",TRUE,IF(F76&lt;&gt;"","Fundador",""),IF(G76&lt;&gt;"","Anjo",""),IF(H76&lt;&gt;"","VC",""),IF(I76&lt;&gt;"","Gestão",""),IF(J76&lt;&gt;"","Conselho",""),IF(K76&lt;&gt;"","Buscapé","")))</f>
        <v/>
      </c>
      <c r="N76" t="inlineStr"/>
      <c r="O76" s="5" t="inlineStr">
        <is>
          <t>2010</t>
        </is>
      </c>
      <c r="P76" t="inlineStr">
        <is>
          <t>Encerrada</t>
        </is>
      </c>
      <c r="Q76" s="5" t="inlineStr"/>
      <c r="R76" s="5" t="inlineStr"/>
      <c r="S76" t="inlineStr"/>
      <c r="T76" t="inlineStr">
        <is>
          <t>https://www.crunchbase.com/organization/saveme</t>
        </is>
      </c>
      <c r="U76" t="inlineStr">
        <is>
          <t>saveme-2026.png</t>
        </is>
      </c>
      <c r="V76" t="inlineStr"/>
      <c r="W76" t="inlineStr"/>
      <c r="X76" t="inlineStr"/>
      <c r="Y76" t="inlineStr"/>
      <c r="Z76" t="inlineStr"/>
      <c r="AA76" t="inlineStr"/>
      <c r="AB76" t="inlineStr"/>
    </row>
    <row r="77">
      <c r="A77" s="5" t="inlineStr">
        <is>
          <t>850</t>
        </is>
      </c>
      <c r="B77" s="5" t="inlineStr">
        <is>
          <t>x</t>
        </is>
      </c>
      <c r="C77" s="5" t="inlineStr"/>
      <c r="D77" t="inlineStr">
        <is>
          <t>eBehavior</t>
        </is>
      </c>
      <c r="E77" t="inlineStr"/>
      <c r="F77" s="5" t="inlineStr"/>
      <c r="G77" s="5" t="inlineStr"/>
      <c r="H77" s="5" t="inlineStr"/>
      <c r="I77" s="5" t="inlineStr"/>
      <c r="J77" s="5" t="inlineStr"/>
      <c r="K77" s="5" t="inlineStr">
        <is>
          <t>x</t>
        </is>
      </c>
      <c r="L77" t="inlineStr"/>
      <c r="M77" s="6">
        <f>IF(L77&lt;&gt;"",L77,_xlfn.TEXTJOIN(" · ",TRUE,IF(F77&lt;&gt;"","Fundador",""),IF(G77&lt;&gt;"","Anjo",""),IF(H77&lt;&gt;"","VC",""),IF(I77&lt;&gt;"","Gestão",""),IF(J77&lt;&gt;"","Conselho",""),IF(K77&lt;&gt;"","Buscapé","")))</f>
        <v/>
      </c>
      <c r="N77" t="inlineStr"/>
      <c r="O77" s="5" t="inlineStr">
        <is>
          <t>2010</t>
        </is>
      </c>
      <c r="P77" t="inlineStr">
        <is>
          <t>Encerrada</t>
        </is>
      </c>
      <c r="Q77" s="5" t="inlineStr"/>
      <c r="R77" s="5" t="inlineStr"/>
      <c r="S77" t="inlineStr"/>
      <c r="T77" t="inlineStr">
        <is>
          <t>https://www.crunchbase.com/organization/ebehavior-b888</t>
        </is>
      </c>
      <c r="U77" t="inlineStr">
        <is>
          <t>ebehavior.png</t>
        </is>
      </c>
      <c r="V77" t="inlineStr"/>
      <c r="W77" t="inlineStr"/>
      <c r="X77" t="inlineStr"/>
      <c r="Y77" t="inlineStr"/>
      <c r="Z77" t="inlineStr"/>
      <c r="AA77" t="inlineStr"/>
      <c r="AB77" t="inlineStr"/>
    </row>
    <row r="78">
      <c r="A78" s="5" t="inlineStr">
        <is>
          <t>860</t>
        </is>
      </c>
      <c r="B78" s="5" t="inlineStr">
        <is>
          <t>x</t>
        </is>
      </c>
      <c r="C78" s="5" t="inlineStr"/>
      <c r="D78" t="inlineStr">
        <is>
          <t>Lomadee</t>
        </is>
      </c>
      <c r="E78" t="inlineStr"/>
      <c r="F78" s="5" t="inlineStr"/>
      <c r="G78" s="5" t="inlineStr"/>
      <c r="H78" s="5" t="inlineStr"/>
      <c r="I78" s="5" t="inlineStr"/>
      <c r="J78" s="5" t="inlineStr"/>
      <c r="K78" s="5" t="inlineStr">
        <is>
          <t>x</t>
        </is>
      </c>
      <c r="L78" t="inlineStr"/>
      <c r="M78" s="6">
        <f>IF(L78&lt;&gt;"",L78,_xlfn.TEXTJOIN(" · ",TRUE,IF(F78&lt;&gt;"","Fundador",""),IF(G78&lt;&gt;"","Anjo",""),IF(H78&lt;&gt;"","VC",""),IF(I78&lt;&gt;"","Gestão",""),IF(J78&lt;&gt;"","Conselho",""),IF(K78&lt;&gt;"","Buscapé","")))</f>
        <v/>
      </c>
      <c r="N78" t="inlineStr">
        <is>
          <t>Vendida à A&amp;EIGHT</t>
        </is>
      </c>
      <c r="O78" s="5" t="inlineStr">
        <is>
          <t>2009</t>
        </is>
      </c>
      <c r="P78" t="inlineStr">
        <is>
          <t>Saída · 2024</t>
        </is>
      </c>
      <c r="Q78" s="5" t="inlineStr">
        <is>
          <t>x</t>
        </is>
      </c>
      <c r="R78" s="5" t="inlineStr"/>
      <c r="S78" t="inlineStr"/>
      <c r="T78" t="inlineStr">
        <is>
          <t>https://www.crunchbase.com/organization/lomadee</t>
        </is>
      </c>
      <c r="U78" t="inlineStr">
        <is>
          <t>lomadee.png</t>
        </is>
      </c>
      <c r="V78" t="inlineStr"/>
      <c r="W78" t="inlineStr"/>
      <c r="X78" t="inlineStr"/>
      <c r="Y78" t="inlineStr"/>
      <c r="Z78" t="inlineStr"/>
      <c r="AA78" t="inlineStr"/>
      <c r="AB78" t="inlineStr"/>
    </row>
    <row r="79">
      <c r="A79" s="5" t="inlineStr">
        <is>
          <t>870</t>
        </is>
      </c>
      <c r="B79" s="5" t="inlineStr">
        <is>
          <t>x</t>
        </is>
      </c>
      <c r="C79" s="5" t="inlineStr"/>
      <c r="D79" t="inlineStr">
        <is>
          <t>Bcash / Pagamento Digital</t>
        </is>
      </c>
      <c r="E79" t="inlineStr">
        <is>
          <t>Bcash</t>
        </is>
      </c>
      <c r="F79" s="5" t="inlineStr"/>
      <c r="G79" s="5" t="inlineStr"/>
      <c r="H79" s="5" t="inlineStr"/>
      <c r="I79" s="5" t="inlineStr"/>
      <c r="J79" s="5" t="inlineStr"/>
      <c r="K79" s="5" t="inlineStr">
        <is>
          <t>x</t>
        </is>
      </c>
      <c r="L79" t="inlineStr"/>
      <c r="M79" s="6">
        <f>IF(L79&lt;&gt;"",L79,_xlfn.TEXTJOIN(" · ",TRUE,IF(F79&lt;&gt;"","Fundador",""),IF(G79&lt;&gt;"","Anjo",""),IF(H79&lt;&gt;"","VC",""),IF(I79&lt;&gt;"","Gestão",""),IF(J79&lt;&gt;"","Conselho",""),IF(K79&lt;&gt;"","Buscapé","")))</f>
        <v/>
      </c>
      <c r="N79" t="inlineStr">
        <is>
          <t>Fundida com PayU</t>
        </is>
      </c>
      <c r="O79" s="5" t="inlineStr">
        <is>
          <t>2008</t>
        </is>
      </c>
      <c r="P79" t="inlineStr">
        <is>
          <t>Saída</t>
        </is>
      </c>
      <c r="Q79" s="5" t="inlineStr">
        <is>
          <t>x</t>
        </is>
      </c>
      <c r="R79" s="5" t="inlineStr"/>
      <c r="S79" t="inlineStr"/>
      <c r="T79" t="inlineStr">
        <is>
          <t>https://www.crunchbase.com/organization/pagamento-digital</t>
        </is>
      </c>
      <c r="U79" t="inlineStr">
        <is>
          <t>pagamento-digital.png</t>
        </is>
      </c>
      <c r="V79" t="inlineStr"/>
      <c r="W79" t="inlineStr">
        <is>
          <t>Bcash</t>
        </is>
      </c>
      <c r="X79" t="inlineStr">
        <is>
          <t>Pagamento Digital</t>
        </is>
      </c>
      <c r="Y79" t="inlineStr"/>
      <c r="Z79" t="inlineStr"/>
      <c r="AA79" t="inlineStr"/>
      <c r="AB79" t="inlineStr"/>
    </row>
    <row r="80">
      <c r="A80" s="5" t="inlineStr">
        <is>
          <t>880</t>
        </is>
      </c>
      <c r="B80" s="5" t="inlineStr">
        <is>
          <t>x</t>
        </is>
      </c>
      <c r="C80" s="5" t="inlineStr"/>
      <c r="D80" t="inlineStr">
        <is>
          <t>FControl</t>
        </is>
      </c>
      <c r="E80" t="inlineStr"/>
      <c r="F80" s="5" t="inlineStr"/>
      <c r="G80" s="5" t="inlineStr"/>
      <c r="H80" s="5" t="inlineStr"/>
      <c r="I80" s="5" t="inlineStr"/>
      <c r="J80" s="5" t="inlineStr"/>
      <c r="K80" s="5" t="inlineStr">
        <is>
          <t>x</t>
        </is>
      </c>
      <c r="L80" t="inlineStr"/>
      <c r="M80" s="6">
        <f>IF(L80&lt;&gt;"",L80,_xlfn.TEXTJOIN(" · ",TRUE,IF(F80&lt;&gt;"","Fundador",""),IF(G80&lt;&gt;"","Anjo",""),IF(H80&lt;&gt;"","VC",""),IF(I80&lt;&gt;"","Gestão",""),IF(J80&lt;&gt;"","Conselho",""),IF(K80&lt;&gt;"","Buscapé","")))</f>
        <v/>
      </c>
      <c r="N80" t="inlineStr">
        <is>
          <t>Fundida com PayU</t>
        </is>
      </c>
      <c r="O80" s="5" t="inlineStr">
        <is>
          <t>2008</t>
        </is>
      </c>
      <c r="P80" t="inlineStr">
        <is>
          <t>Saída</t>
        </is>
      </c>
      <c r="Q80" s="5" t="inlineStr">
        <is>
          <t>x</t>
        </is>
      </c>
      <c r="R80" s="5" t="inlineStr"/>
      <c r="S80" t="inlineStr"/>
      <c r="T80" t="inlineStr">
        <is>
          <t>https://www.crunchbase.com/organization/f-control</t>
        </is>
      </c>
      <c r="U80" t="inlineStr">
        <is>
          <t>fcontrol.png</t>
        </is>
      </c>
      <c r="V80" t="inlineStr"/>
      <c r="W80" t="inlineStr"/>
      <c r="X80" t="inlineStr"/>
      <c r="Y80" t="inlineStr"/>
      <c r="Z80" t="inlineStr"/>
      <c r="AA80" t="inlineStr"/>
      <c r="AB80" t="inlineStr"/>
    </row>
    <row r="81">
      <c r="A81" s="5" t="inlineStr">
        <is>
          <t>890</t>
        </is>
      </c>
      <c r="B81" s="5" t="inlineStr">
        <is>
          <t>x</t>
        </is>
      </c>
      <c r="C81" s="5" t="inlineStr"/>
      <c r="D81" t="inlineStr">
        <is>
          <t>E-bit</t>
        </is>
      </c>
      <c r="E81" t="inlineStr"/>
      <c r="F81" s="5" t="inlineStr"/>
      <c r="G81" s="5" t="inlineStr"/>
      <c r="H81" s="5" t="inlineStr"/>
      <c r="I81" s="5" t="inlineStr"/>
      <c r="J81" s="5" t="inlineStr"/>
      <c r="K81" s="5" t="inlineStr">
        <is>
          <t>x</t>
        </is>
      </c>
      <c r="L81" t="inlineStr"/>
      <c r="M81" s="6">
        <f>IF(L81&lt;&gt;"",L81,_xlfn.TEXTJOIN(" · ",TRUE,IF(F81&lt;&gt;"","Fundador",""),IF(G81&lt;&gt;"","Anjo",""),IF(H81&lt;&gt;"","VC",""),IF(I81&lt;&gt;"","Gestão",""),IF(J81&lt;&gt;"","Conselho",""),IF(K81&lt;&gt;"","Buscapé","")))</f>
        <v/>
      </c>
      <c r="N81" t="inlineStr">
        <is>
          <t>Vendida à Nielsen</t>
        </is>
      </c>
      <c r="O81" s="5" t="inlineStr">
        <is>
          <t>2007</t>
        </is>
      </c>
      <c r="P81" t="inlineStr">
        <is>
          <t>Saída · 2024</t>
        </is>
      </c>
      <c r="Q81" s="5" t="inlineStr">
        <is>
          <t>x</t>
        </is>
      </c>
      <c r="R81" s="5" t="inlineStr"/>
      <c r="S81" t="inlineStr"/>
      <c r="T81" t="inlineStr">
        <is>
          <t>https://www.crunchbase.com/organization/e-bit</t>
        </is>
      </c>
      <c r="U81" t="inlineStr">
        <is>
          <t>e-bit.png</t>
        </is>
      </c>
      <c r="V81" t="inlineStr"/>
      <c r="W81" t="inlineStr"/>
      <c r="X81" t="inlineStr"/>
      <c r="Y81" t="inlineStr"/>
      <c r="Z81" t="inlineStr"/>
      <c r="AA81" t="inlineStr"/>
      <c r="AB81" t="inlineStr"/>
    </row>
    <row r="82">
      <c r="A82" s="5" t="inlineStr">
        <is>
          <t>900</t>
        </is>
      </c>
      <c r="B82" s="5" t="inlineStr">
        <is>
          <t>x</t>
        </is>
      </c>
      <c r="C82" s="5" t="inlineStr"/>
      <c r="D82" t="inlineStr">
        <is>
          <t>Bondfaro</t>
        </is>
      </c>
      <c r="E82" t="inlineStr"/>
      <c r="F82" s="5" t="inlineStr"/>
      <c r="G82" s="5" t="inlineStr"/>
      <c r="H82" s="5" t="inlineStr"/>
      <c r="I82" s="5" t="inlineStr"/>
      <c r="J82" s="5" t="inlineStr"/>
      <c r="K82" s="5" t="inlineStr">
        <is>
          <t>x</t>
        </is>
      </c>
      <c r="L82" t="inlineStr"/>
      <c r="M82" s="6">
        <f>IF(L82&lt;&gt;"",L82,_xlfn.TEXTJOIN(" · ",TRUE,IF(F82&lt;&gt;"","Fundador",""),IF(G82&lt;&gt;"","Anjo",""),IF(H82&lt;&gt;"","VC",""),IF(I82&lt;&gt;"","Gestão",""),IF(J82&lt;&gt;"","Conselho",""),IF(K82&lt;&gt;"","Buscapé","")))</f>
        <v/>
      </c>
      <c r="N82" t="inlineStr"/>
      <c r="O82" s="5" t="inlineStr">
        <is>
          <t>2006</t>
        </is>
      </c>
      <c r="P82" t="inlineStr"/>
      <c r="Q82" s="5" t="inlineStr"/>
      <c r="R82" s="5" t="inlineStr"/>
      <c r="S82" t="inlineStr">
        <is>
          <t>https://www.bondfaro.com.br/</t>
        </is>
      </c>
      <c r="T82" t="inlineStr">
        <is>
          <t>https://www.crunchbase.com/organization/bondfaro</t>
        </is>
      </c>
      <c r="U82" t="inlineStr">
        <is>
          <t>bondfaro-2026.png</t>
        </is>
      </c>
      <c r="V82" t="inlineStr"/>
      <c r="W82" t="inlineStr"/>
      <c r="X82" t="inlineStr"/>
      <c r="Y82" t="inlineStr"/>
      <c r="Z82" t="inlineStr"/>
      <c r="AA82" t="inlineStr"/>
      <c r="AB82" t="inlineStr"/>
    </row>
    <row r="83">
      <c r="A83" s="5" t="inlineStr">
        <is>
          <t>910</t>
        </is>
      </c>
      <c r="B83" s="5" t="inlineStr">
        <is>
          <t>x</t>
        </is>
      </c>
      <c r="C83" s="5" t="inlineStr"/>
      <c r="D83" t="inlineStr">
        <is>
          <t>CortaContas</t>
        </is>
      </c>
      <c r="E83" t="inlineStr"/>
      <c r="F83" s="5" t="inlineStr"/>
      <c r="G83" s="5" t="inlineStr"/>
      <c r="H83" s="5" t="inlineStr"/>
      <c r="I83" s="5" t="inlineStr"/>
      <c r="J83" s="5" t="inlineStr"/>
      <c r="K83" s="5" t="inlineStr">
        <is>
          <t>x</t>
        </is>
      </c>
      <c r="L83" t="inlineStr"/>
      <c r="M83" s="6">
        <f>IF(L83&lt;&gt;"",L83,_xlfn.TEXTJOIN(" · ",TRUE,IF(F83&lt;&gt;"","Fundador",""),IF(G83&lt;&gt;"","Anjo",""),IF(H83&lt;&gt;"","VC",""),IF(I83&lt;&gt;"","Gestão",""),IF(J83&lt;&gt;"","Conselho",""),IF(K83&lt;&gt;"","Buscapé","")))</f>
        <v/>
      </c>
      <c r="N83" t="inlineStr"/>
      <c r="O83" s="5" t="inlineStr">
        <is>
          <t>2006</t>
        </is>
      </c>
      <c r="P83" t="inlineStr">
        <is>
          <t>Encerrada</t>
        </is>
      </c>
      <c r="Q83" s="5" t="inlineStr"/>
      <c r="R83" s="5" t="inlineStr"/>
      <c r="S83" t="inlineStr"/>
      <c r="T83" t="inlineStr">
        <is>
          <t>https://www.crunchbase.com/organization/cortacontas</t>
        </is>
      </c>
      <c r="U83" t="inlineStr">
        <is>
          <t>cortacontas.png</t>
        </is>
      </c>
      <c r="V83" t="inlineStr"/>
      <c r="W83" t="inlineStr"/>
      <c r="X83" t="inlineStr"/>
      <c r="Y83" t="inlineStr"/>
      <c r="Z83" t="inlineStr"/>
      <c r="AA83" t="inlineStr"/>
      <c r="AB83" t="inlineStr"/>
    </row>
    <row r="84">
      <c r="A84" s="5" t="inlineStr">
        <is>
          <t>920</t>
        </is>
      </c>
      <c r="B84" s="5" t="inlineStr">
        <is>
          <t>x</t>
        </is>
      </c>
      <c r="C84" s="5" t="inlineStr"/>
      <c r="D84" t="inlineStr">
        <is>
          <t>QueBarato!</t>
        </is>
      </c>
      <c r="E84" t="inlineStr"/>
      <c r="F84" s="5" t="inlineStr"/>
      <c r="G84" s="5" t="inlineStr"/>
      <c r="H84" s="5" t="inlineStr"/>
      <c r="I84" s="5" t="inlineStr"/>
      <c r="J84" s="5" t="inlineStr"/>
      <c r="K84" s="5" t="inlineStr">
        <is>
          <t>x</t>
        </is>
      </c>
      <c r="L84" t="inlineStr"/>
      <c r="M84" s="6">
        <f>IF(L84&lt;&gt;"",L84,_xlfn.TEXTJOIN(" · ",TRUE,IF(F84&lt;&gt;"","Fundador",""),IF(G84&lt;&gt;"","Anjo",""),IF(H84&lt;&gt;"","VC",""),IF(I84&lt;&gt;"","Gestão",""),IF(J84&lt;&gt;"","Conselho",""),IF(K84&lt;&gt;"","Buscapé","")))</f>
        <v/>
      </c>
      <c r="N84" t="inlineStr"/>
      <c r="O84" s="5" t="inlineStr">
        <is>
          <t>2006</t>
        </is>
      </c>
      <c r="P84" t="inlineStr">
        <is>
          <t>Encerrada</t>
        </is>
      </c>
      <c r="Q84" s="5" t="inlineStr"/>
      <c r="R84" s="5" t="inlineStr"/>
      <c r="S84" t="inlineStr">
        <is>
          <t>https://www.quebarato.com.br/</t>
        </is>
      </c>
      <c r="T84" t="inlineStr">
        <is>
          <t>https://www.crunchbase.com/organization/quebarato</t>
        </is>
      </c>
      <c r="U84" t="inlineStr">
        <is>
          <t>quebarato.png</t>
        </is>
      </c>
      <c r="V84" t="inlineStr"/>
      <c r="W84" t="inlineStr"/>
      <c r="X84" t="inlineStr"/>
      <c r="Y84" t="inlineStr"/>
      <c r="Z84" t="inlineStr"/>
      <c r="AA84" t="inlineStr"/>
      <c r="AB84" t="inlineStr"/>
    </row>
    <row r="85">
      <c r="A85" s="5" t="inlineStr">
        <is>
          <t>930</t>
        </is>
      </c>
      <c r="B85" s="5" t="inlineStr">
        <is>
          <t>x</t>
        </is>
      </c>
      <c r="C85" s="5" t="inlineStr"/>
      <c r="D85" t="inlineStr">
        <is>
          <t>All in</t>
        </is>
      </c>
      <c r="E85" t="inlineStr"/>
      <c r="F85" s="5" t="inlineStr"/>
      <c r="G85" s="5" t="inlineStr">
        <is>
          <t>x</t>
        </is>
      </c>
      <c r="H85" s="5" t="inlineStr"/>
      <c r="I85" s="5" t="inlineStr"/>
      <c r="J85" s="5" t="inlineStr"/>
      <c r="K85" s="5" t="inlineStr"/>
      <c r="L85" t="inlineStr"/>
      <c r="M85" s="6">
        <f>IF(L85&lt;&gt;"",L85,_xlfn.TEXTJOIN(" · ",TRUE,IF(F85&lt;&gt;"","Fundador",""),IF(G85&lt;&gt;"","Anjo",""),IF(H85&lt;&gt;"","VC",""),IF(I85&lt;&gt;"","Gestão",""),IF(J85&lt;&gt;"","Conselho",""),IF(K85&lt;&gt;"","Buscapé","")))</f>
        <v/>
      </c>
      <c r="N85" t="inlineStr">
        <is>
          <t>Vendida à Locaweb</t>
        </is>
      </c>
      <c r="O85" s="5" t="inlineStr">
        <is>
          <t>2004</t>
        </is>
      </c>
      <c r="P85" t="inlineStr">
        <is>
          <t>Saída</t>
        </is>
      </c>
      <c r="Q85" s="5" t="inlineStr">
        <is>
          <t>x</t>
        </is>
      </c>
      <c r="R85" s="5" t="inlineStr"/>
      <c r="S85" t="inlineStr"/>
      <c r="T85" t="inlineStr"/>
      <c r="U85" t="inlineStr"/>
      <c r="V85" t="inlineStr"/>
      <c r="W85" t="inlineStr"/>
      <c r="X85" t="inlineStr"/>
      <c r="Y85" t="inlineStr"/>
      <c r="Z85" t="inlineStr"/>
      <c r="AA85" t="inlineStr"/>
      <c r="AB85" t="inlineStr"/>
    </row>
    <row r="86">
      <c r="A86" s="5" t="inlineStr">
        <is>
          <t>960</t>
        </is>
      </c>
      <c r="B86" s="5" t="inlineStr">
        <is>
          <t>x</t>
        </is>
      </c>
      <c r="C86" s="5" t="inlineStr"/>
      <c r="D86" t="inlineStr">
        <is>
          <t>Mídia Digital / Mirum</t>
        </is>
      </c>
      <c r="E86" t="inlineStr"/>
      <c r="F86" s="5" t="inlineStr"/>
      <c r="G86" s="5" t="inlineStr">
        <is>
          <t>x</t>
        </is>
      </c>
      <c r="H86" s="5" t="inlineStr"/>
      <c r="I86" s="5" t="inlineStr"/>
      <c r="J86" s="5" t="inlineStr"/>
      <c r="K86" s="5" t="inlineStr"/>
      <c r="L86" t="inlineStr"/>
      <c r="M86" s="6">
        <f>IF(L86&lt;&gt;"",L86,_xlfn.TEXTJOIN(" · ",TRUE,IF(F86&lt;&gt;"","Fundador",""),IF(G86&lt;&gt;"","Anjo",""),IF(H86&lt;&gt;"","VC",""),IF(I86&lt;&gt;"","Gestão",""),IF(J86&lt;&gt;"","Conselho",""),IF(K86&lt;&gt;"","Buscapé","")))</f>
        <v/>
      </c>
      <c r="N86" t="inlineStr">
        <is>
          <t>Vendida à JWT</t>
        </is>
      </c>
      <c r="O86" s="5" t="inlineStr">
        <is>
          <t>2004</t>
        </is>
      </c>
      <c r="P86" t="inlineStr">
        <is>
          <t>Saída</t>
        </is>
      </c>
      <c r="Q86" s="5" t="inlineStr">
        <is>
          <t>x</t>
        </is>
      </c>
      <c r="R86" s="5" t="inlineStr"/>
      <c r="S86" t="inlineStr"/>
      <c r="T86" t="inlineStr">
        <is>
          <t>https://www.crunchbase.com/organization/mirum-agency; https://www.crunchbase.com/organization/m%C3%ADdia-digital</t>
        </is>
      </c>
      <c r="U86" t="inlineStr">
        <is>
          <t>mirum.png</t>
        </is>
      </c>
      <c r="V86" t="inlineStr"/>
      <c r="W86" t="inlineStr"/>
      <c r="X86" t="inlineStr"/>
      <c r="Y86" t="inlineStr"/>
      <c r="Z86" t="inlineStr"/>
      <c r="AA86" t="inlineStr"/>
      <c r="AB86" t="inlineStr"/>
    </row>
    <row r="87">
      <c r="A87" s="5" t="inlineStr">
        <is>
          <t>980</t>
        </is>
      </c>
      <c r="B87" s="5" t="inlineStr">
        <is>
          <t>x</t>
        </is>
      </c>
      <c r="C87" s="5" t="inlineStr"/>
      <c r="D87" t="inlineStr">
        <is>
          <t>i-Equities</t>
        </is>
      </c>
      <c r="E87" t="inlineStr"/>
      <c r="F87" s="5" t="inlineStr"/>
      <c r="G87" s="5" t="inlineStr"/>
      <c r="H87" s="5" t="inlineStr"/>
      <c r="I87" s="5" t="inlineStr">
        <is>
          <t>x</t>
        </is>
      </c>
      <c r="J87" s="5" t="inlineStr"/>
      <c r="K87" s="5" t="inlineStr"/>
      <c r="L87" t="inlineStr">
        <is>
          <t>Holding</t>
        </is>
      </c>
      <c r="M87" s="6">
        <f>IF(L87&lt;&gt;"",L87,_xlfn.TEXTJOIN(" · ",TRUE,IF(F87&lt;&gt;"","Fundador",""),IF(G87&lt;&gt;"","Anjo",""),IF(H87&lt;&gt;"","VC",""),IF(I87&lt;&gt;"","Gestão",""),IF(J87&lt;&gt;"","Conselho",""),IF(K87&lt;&gt;"","Buscapé","")))</f>
        <v/>
      </c>
      <c r="N87" t="inlineStr"/>
      <c r="O87" s="5" t="inlineStr">
        <is>
          <t>2004</t>
        </is>
      </c>
      <c r="P87" t="inlineStr">
        <is>
          <t>Encerrada</t>
        </is>
      </c>
      <c r="Q87" s="5" t="inlineStr"/>
      <c r="R87" s="5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</row>
    <row r="88">
      <c r="A88" s="5" t="inlineStr">
        <is>
          <t>1000</t>
        </is>
      </c>
      <c r="B88" s="5" t="inlineStr">
        <is>
          <t>x</t>
        </is>
      </c>
      <c r="C88" s="5" t="inlineStr"/>
      <c r="D88" t="inlineStr">
        <is>
          <t>AWL Leads</t>
        </is>
      </c>
      <c r="E88" t="inlineStr"/>
      <c r="F88" s="5" t="inlineStr"/>
      <c r="G88" s="5" t="inlineStr">
        <is>
          <t>x</t>
        </is>
      </c>
      <c r="H88" s="5" t="inlineStr"/>
      <c r="I88" s="5" t="inlineStr"/>
      <c r="J88" s="5" t="inlineStr"/>
      <c r="K88" s="5" t="inlineStr"/>
      <c r="L88" t="inlineStr"/>
      <c r="M88" s="6">
        <f>IF(L88&lt;&gt;"",L88,_xlfn.TEXTJOIN(" · ",TRUE,IF(F88&lt;&gt;"","Fundador",""),IF(G88&lt;&gt;"","Anjo",""),IF(H88&lt;&gt;"","VC",""),IF(I88&lt;&gt;"","Gestão",""),IF(J88&lt;&gt;"","Conselho",""),IF(K88&lt;&gt;"","Buscapé","")))</f>
        <v/>
      </c>
      <c r="N88" t="inlineStr">
        <is>
          <t>Vendida à Genstar Capital</t>
        </is>
      </c>
      <c r="O88" s="5" t="inlineStr"/>
      <c r="P88" t="inlineStr">
        <is>
          <t>Saída</t>
        </is>
      </c>
      <c r="Q88" s="5" t="inlineStr">
        <is>
          <t>x</t>
        </is>
      </c>
      <c r="R88" s="5" t="inlineStr"/>
      <c r="S88" t="inlineStr">
        <is>
          <t>https://awl.com/</t>
        </is>
      </c>
      <c r="T88" t="inlineStr">
        <is>
          <t>https://www.crunchbase.com/organization/awl-fee7</t>
        </is>
      </c>
      <c r="U88" t="inlineStr">
        <is>
          <t>awl-leads.png</t>
        </is>
      </c>
      <c r="V88" t="inlineStr"/>
      <c r="W88" t="inlineStr"/>
      <c r="X88" t="inlineStr"/>
      <c r="Y88" t="inlineStr"/>
      <c r="Z88" t="inlineStr"/>
      <c r="AA88" t="inlineStr"/>
      <c r="AB88" t="inlineStr"/>
    </row>
    <row r="89">
      <c r="A89" s="5" t="inlineStr">
        <is>
          <t>1005</t>
        </is>
      </c>
      <c r="B89" s="5" t="inlineStr">
        <is>
          <t>x</t>
        </is>
      </c>
      <c r="C89" s="5" t="inlineStr">
        <is>
          <t>2</t>
        </is>
      </c>
      <c r="D89" t="inlineStr">
        <is>
          <t>Biosphera (B&amp;Partners)</t>
        </is>
      </c>
      <c r="E89" t="inlineStr"/>
      <c r="F89" s="5" t="inlineStr"/>
      <c r="G89" s="5" t="inlineStr">
        <is>
          <t>x</t>
        </is>
      </c>
      <c r="H89" s="5" t="inlineStr"/>
      <c r="I89" s="5" t="inlineStr"/>
      <c r="J89" s="5" t="inlineStr">
        <is>
          <t>x</t>
        </is>
      </c>
      <c r="K89" s="5" t="inlineStr"/>
      <c r="L89" t="inlineStr"/>
      <c r="M89" s="6">
        <f>IF(L89&lt;&gt;"",L89,_xlfn.TEXTJOIN(" · ",TRUE,IF(F89&lt;&gt;"","Fundador",""),IF(G89&lt;&gt;"","Anjo",""),IF(H89&lt;&gt;"","VC",""),IF(I89&lt;&gt;"","Gestão",""),IF(J89&lt;&gt;"","Conselho",""),IF(K89&lt;&gt;"","Buscapé","")))</f>
        <v/>
      </c>
      <c r="N89" t="inlineStr"/>
      <c r="O89" s="5" t="inlineStr">
        <is>
          <t>2021</t>
        </is>
      </c>
      <c r="P89" t="inlineStr">
        <is>
          <t>Ativa</t>
        </is>
      </c>
      <c r="Q89" s="5" t="inlineStr"/>
      <c r="R89" s="5" t="inlineStr"/>
      <c r="S89" t="inlineStr">
        <is>
          <t>https://biosphera.network/en/</t>
        </is>
      </c>
      <c r="T89" t="inlineStr">
        <is>
          <t>https://www.crunchbase.com/organization/b-partners-6cab</t>
        </is>
      </c>
      <c r="U89" t="inlineStr">
        <is>
          <t>biosphera.png</t>
        </is>
      </c>
      <c r="V89" t="inlineStr"/>
      <c r="W89" t="inlineStr"/>
      <c r="X89" t="inlineStr"/>
      <c r="Y89" t="inlineStr"/>
      <c r="Z89" t="inlineStr"/>
      <c r="AA89" t="inlineStr"/>
      <c r="AB89" t="inlineStr">
        <is>
          <t>Anjo. Crunchbase ainda aponta o site antigo (bpartners.com.br).</t>
        </is>
      </c>
    </row>
    <row r="90">
      <c r="A90" s="5" t="inlineStr">
        <is>
          <t>1010</t>
        </is>
      </c>
      <c r="B90" s="5" t="inlineStr">
        <is>
          <t>x</t>
        </is>
      </c>
      <c r="C90" s="5" t="inlineStr"/>
      <c r="D90" t="inlineStr">
        <is>
          <t>BovControl</t>
        </is>
      </c>
      <c r="E90" t="inlineStr"/>
      <c r="F90" s="5" t="inlineStr"/>
      <c r="G90" s="5" t="inlineStr">
        <is>
          <t>x</t>
        </is>
      </c>
      <c r="H90" s="5" t="inlineStr"/>
      <c r="I90" s="5" t="inlineStr"/>
      <c r="J90" s="5" t="inlineStr"/>
      <c r="K90" s="5" t="inlineStr"/>
      <c r="L90" t="inlineStr"/>
      <c r="M90" s="6">
        <f>IF(L90&lt;&gt;"",L90,_xlfn.TEXTJOIN(" · ",TRUE,IF(F90&lt;&gt;"","Fundador",""),IF(G90&lt;&gt;"","Anjo",""),IF(H90&lt;&gt;"","VC",""),IF(I90&lt;&gt;"","Gestão",""),IF(J90&lt;&gt;"","Conselho",""),IF(K90&lt;&gt;"","Buscapé","")))</f>
        <v/>
      </c>
      <c r="N90" t="inlineStr"/>
      <c r="O90" s="5" t="inlineStr"/>
      <c r="P90" t="inlineStr">
        <is>
          <t>Ativa</t>
        </is>
      </c>
      <c r="Q90" s="5" t="inlineStr"/>
      <c r="R90" s="5" t="inlineStr"/>
      <c r="S90" t="inlineStr">
        <is>
          <t>https://bovplatform.com/about</t>
        </is>
      </c>
      <c r="T90" t="inlineStr">
        <is>
          <t>https://www.crunchbase.com/organization/bovcontrol</t>
        </is>
      </c>
      <c r="U90" t="inlineStr">
        <is>
          <t>bovcontrol.png</t>
        </is>
      </c>
      <c r="V90" t="inlineStr"/>
      <c r="W90" t="inlineStr"/>
      <c r="X90" t="inlineStr"/>
      <c r="Y90" t="inlineStr"/>
      <c r="Z90" t="inlineStr"/>
      <c r="AA90" t="inlineStr"/>
      <c r="AB90" t="inlineStr"/>
    </row>
    <row r="91">
      <c r="A91" s="5" t="inlineStr">
        <is>
          <t>1020</t>
        </is>
      </c>
      <c r="B91" s="5" t="inlineStr">
        <is>
          <t>x</t>
        </is>
      </c>
      <c r="C91" s="5" t="inlineStr"/>
      <c r="D91" t="inlineStr">
        <is>
          <t>Canal da Peça</t>
        </is>
      </c>
      <c r="E91" t="inlineStr">
        <is>
          <t>CWS (Canal da Peça)</t>
        </is>
      </c>
      <c r="F91" s="5" t="inlineStr"/>
      <c r="G91" s="5" t="inlineStr">
        <is>
          <t>x</t>
        </is>
      </c>
      <c r="H91" s="5" t="inlineStr"/>
      <c r="I91" s="5" t="inlineStr"/>
      <c r="J91" s="5" t="inlineStr"/>
      <c r="K91" s="5" t="inlineStr"/>
      <c r="L91" t="inlineStr"/>
      <c r="M91" s="6">
        <f>IF(L91&lt;&gt;"",L91,_xlfn.TEXTJOIN(" · ",TRUE,IF(F91&lt;&gt;"","Fundador",""),IF(G91&lt;&gt;"","Anjo",""),IF(H91&lt;&gt;"","VC",""),IF(I91&lt;&gt;"","Gestão",""),IF(J91&lt;&gt;"","Conselho",""),IF(K91&lt;&gt;"","Buscapé","")))</f>
        <v/>
      </c>
      <c r="N91" t="inlineStr"/>
      <c r="O91" s="5" t="inlineStr"/>
      <c r="P91" t="inlineStr">
        <is>
          <t>Ativa</t>
        </is>
      </c>
      <c r="Q91" s="5" t="inlineStr"/>
      <c r="R91" s="5" t="inlineStr"/>
      <c r="S91" t="inlineStr">
        <is>
          <t>https://www.canaldapeca.com.br/</t>
        </is>
      </c>
      <c r="T91" t="inlineStr">
        <is>
          <t>https://www.crunchbase.com/organization/canal-da-pe%C3%A7a</t>
        </is>
      </c>
      <c r="U91" t="inlineStr">
        <is>
          <t>canal-da-peca.png</t>
        </is>
      </c>
      <c r="V91" t="inlineStr"/>
      <c r="W91" t="inlineStr"/>
      <c r="X91" t="inlineStr"/>
      <c r="Y91" t="inlineStr"/>
      <c r="Z91" t="inlineStr"/>
      <c r="AA91" t="inlineStr"/>
      <c r="AB91" t="inlineStr"/>
    </row>
    <row r="92">
      <c r="A92" s="5" t="inlineStr">
        <is>
          <t>1030</t>
        </is>
      </c>
      <c r="B92" s="5" t="inlineStr">
        <is>
          <t>x</t>
        </is>
      </c>
      <c r="C92" s="5" t="inlineStr"/>
      <c r="D92" t="inlineStr">
        <is>
          <t>Clicksign</t>
        </is>
      </c>
      <c r="E92" t="inlineStr"/>
      <c r="F92" s="5" t="inlineStr"/>
      <c r="G92" s="5" t="inlineStr">
        <is>
          <t>x</t>
        </is>
      </c>
      <c r="H92" s="5" t="inlineStr"/>
      <c r="I92" s="5" t="inlineStr"/>
      <c r="J92" s="5" t="inlineStr"/>
      <c r="K92" s="5" t="inlineStr"/>
      <c r="L92" t="inlineStr"/>
      <c r="M92" s="6">
        <f>IF(L92&lt;&gt;"",L92,_xlfn.TEXTJOIN(" · ",TRUE,IF(F92&lt;&gt;"","Fundador",""),IF(G92&lt;&gt;"","Anjo",""),IF(H92&lt;&gt;"","VC",""),IF(I92&lt;&gt;"","Gestão",""),IF(J92&lt;&gt;"","Conselho",""),IF(K92&lt;&gt;"","Buscapé","")))</f>
        <v/>
      </c>
      <c r="N92" t="inlineStr"/>
      <c r="O92" s="5" t="inlineStr">
        <is>
          <t>2015</t>
        </is>
      </c>
      <c r="P92" t="inlineStr">
        <is>
          <t>Ativa</t>
        </is>
      </c>
      <c r="Q92" s="5" t="inlineStr"/>
      <c r="R92" s="5" t="inlineStr"/>
      <c r="S92" t="inlineStr">
        <is>
          <t>https://www.clicksign.com</t>
        </is>
      </c>
      <c r="T92" t="inlineStr">
        <is>
          <t>https://www.crunchbase.com/organization/clicksign</t>
        </is>
      </c>
      <c r="U92" t="inlineStr">
        <is>
          <t>clicksign.png</t>
        </is>
      </c>
      <c r="V92" t="inlineStr"/>
      <c r="W92" t="inlineStr"/>
      <c r="X92" t="inlineStr"/>
      <c r="Y92" t="inlineStr"/>
      <c r="Z92" t="inlineStr"/>
      <c r="AA92" t="inlineStr"/>
      <c r="AB92" t="inlineStr"/>
    </row>
    <row r="93">
      <c r="A93" s="5" t="inlineStr">
        <is>
          <t>1040</t>
        </is>
      </c>
      <c r="B93" s="5" t="inlineStr">
        <is>
          <t>x</t>
        </is>
      </c>
      <c r="C93" s="5" t="inlineStr"/>
      <c r="D93" t="inlineStr">
        <is>
          <t>DirectTalk</t>
        </is>
      </c>
      <c r="E93" t="inlineStr"/>
      <c r="F93" s="5" t="inlineStr"/>
      <c r="G93" s="5" t="inlineStr">
        <is>
          <t>x</t>
        </is>
      </c>
      <c r="H93" s="5" t="inlineStr"/>
      <c r="I93" s="5" t="inlineStr"/>
      <c r="J93" s="5" t="inlineStr"/>
      <c r="K93" s="5" t="inlineStr"/>
      <c r="L93" t="inlineStr"/>
      <c r="M93" s="6">
        <f>IF(L93&lt;&gt;"",L93,_xlfn.TEXTJOIN(" · ",TRUE,IF(F93&lt;&gt;"","Fundador",""),IF(G93&lt;&gt;"","Anjo",""),IF(H93&lt;&gt;"","VC",""),IF(I93&lt;&gt;"","Gestão",""),IF(J93&lt;&gt;"","Conselho",""),IF(K93&lt;&gt;"","Buscapé","")))</f>
        <v/>
      </c>
      <c r="N93" t="inlineStr"/>
      <c r="O93" s="5" t="inlineStr"/>
      <c r="P93" t="inlineStr">
        <is>
          <t>Ativa</t>
        </is>
      </c>
      <c r="Q93" s="5" t="inlineStr"/>
      <c r="R93" s="5" t="inlineStr"/>
      <c r="S93" t="inlineStr"/>
      <c r="T93" t="inlineStr">
        <is>
          <t>https://www.crunchbase.com/organization/hi-platform</t>
        </is>
      </c>
      <c r="U93" t="inlineStr">
        <is>
          <t>directtalk.png</t>
        </is>
      </c>
      <c r="V93" t="inlineStr"/>
      <c r="W93" t="inlineStr"/>
      <c r="X93" t="inlineStr"/>
      <c r="Y93" t="inlineStr"/>
      <c r="Z93" t="inlineStr"/>
      <c r="AA93" t="inlineStr"/>
      <c r="AB93" t="inlineStr"/>
    </row>
    <row r="94">
      <c r="A94" s="5" t="inlineStr">
        <is>
          <t>1050</t>
        </is>
      </c>
      <c r="B94" s="5" t="inlineStr">
        <is>
          <t>x</t>
        </is>
      </c>
      <c r="C94" s="5" t="inlineStr"/>
      <c r="D94" t="inlineStr">
        <is>
          <t>Galena</t>
        </is>
      </c>
      <c r="E94" t="inlineStr"/>
      <c r="F94" s="5" t="inlineStr"/>
      <c r="G94" s="5" t="inlineStr">
        <is>
          <t>x</t>
        </is>
      </c>
      <c r="H94" s="5" t="inlineStr"/>
      <c r="I94" s="5" t="inlineStr"/>
      <c r="J94" s="5" t="inlineStr"/>
      <c r="K94" s="5" t="inlineStr"/>
      <c r="L94" t="inlineStr"/>
      <c r="M94" s="6">
        <f>IF(L94&lt;&gt;"",L94,_xlfn.TEXTJOIN(" · ",TRUE,IF(F94&lt;&gt;"","Fundador",""),IF(G94&lt;&gt;"","Anjo",""),IF(H94&lt;&gt;"","VC",""),IF(I94&lt;&gt;"","Gestão",""),IF(J94&lt;&gt;"","Conselho",""),IF(K94&lt;&gt;"","Buscapé","")))</f>
        <v/>
      </c>
      <c r="N94" t="inlineStr"/>
      <c r="O94" s="5" t="inlineStr"/>
      <c r="P94" t="inlineStr">
        <is>
          <t>Ativa</t>
        </is>
      </c>
      <c r="Q94" s="5" t="inlineStr"/>
      <c r="R94" s="5" t="inlineStr"/>
      <c r="S94" t="inlineStr">
        <is>
          <t>https://www.galena.com</t>
        </is>
      </c>
      <c r="T94" t="inlineStr">
        <is>
          <t>https://www.crunchbase.com/organization/galena-c08c</t>
        </is>
      </c>
      <c r="U94" t="inlineStr">
        <is>
          <t>galena.png</t>
        </is>
      </c>
      <c r="V94" t="inlineStr"/>
      <c r="W94" t="inlineStr"/>
      <c r="X94" t="inlineStr"/>
      <c r="Y94" t="inlineStr"/>
      <c r="Z94" t="inlineStr"/>
      <c r="AA94" t="inlineStr"/>
      <c r="AB94" t="inlineStr"/>
    </row>
    <row r="95">
      <c r="A95" s="5" t="inlineStr">
        <is>
          <t>1060</t>
        </is>
      </c>
      <c r="B95" s="5" t="inlineStr">
        <is>
          <t>x</t>
        </is>
      </c>
      <c r="C95" s="5" t="inlineStr"/>
      <c r="D95" t="inlineStr">
        <is>
          <t>Grubster / ChefsClub</t>
        </is>
      </c>
      <c r="E95" t="inlineStr"/>
      <c r="F95" s="5" t="inlineStr"/>
      <c r="G95" s="5" t="inlineStr">
        <is>
          <t>x</t>
        </is>
      </c>
      <c r="H95" s="5" t="inlineStr"/>
      <c r="I95" s="5" t="inlineStr"/>
      <c r="J95" s="5" t="inlineStr"/>
      <c r="K95" s="5" t="inlineStr"/>
      <c r="L95" t="inlineStr"/>
      <c r="M95" s="6">
        <f>IF(L95&lt;&gt;"",L95,_xlfn.TEXTJOIN(" · ",TRUE,IF(F95&lt;&gt;"","Fundador",""),IF(G95&lt;&gt;"","Anjo",""),IF(H95&lt;&gt;"","VC",""),IF(I95&lt;&gt;"","Gestão",""),IF(J95&lt;&gt;"","Conselho",""),IF(K95&lt;&gt;"","Buscapé","")))</f>
        <v/>
      </c>
      <c r="N95" t="inlineStr"/>
      <c r="O95" s="5" t="inlineStr"/>
      <c r="P95" t="inlineStr">
        <is>
          <t>Encerrada</t>
        </is>
      </c>
      <c r="Q95" s="5" t="inlineStr"/>
      <c r="R95" s="5" t="inlineStr"/>
      <c r="S95" t="inlineStr"/>
      <c r="T95" t="inlineStr">
        <is>
          <t>https://www.crunchbase.com/organization/grubster</t>
        </is>
      </c>
      <c r="U95" t="inlineStr">
        <is>
          <t>chefsclub-grubster.png</t>
        </is>
      </c>
      <c r="V95" t="inlineStr"/>
      <c r="W95" t="inlineStr"/>
      <c r="X95" t="inlineStr"/>
      <c r="Y95" t="inlineStr"/>
      <c r="Z95" t="inlineStr"/>
      <c r="AA95" t="inlineStr"/>
      <c r="AB95" t="inlineStr"/>
    </row>
    <row r="96">
      <c r="A96" s="5" t="inlineStr">
        <is>
          <t>1070</t>
        </is>
      </c>
      <c r="B96" s="5" t="inlineStr">
        <is>
          <t>x</t>
        </is>
      </c>
      <c r="C96" s="5" t="inlineStr"/>
      <c r="D96" t="inlineStr">
        <is>
          <t>Humortadela</t>
        </is>
      </c>
      <c r="E96" t="inlineStr"/>
      <c r="F96" s="5" t="inlineStr"/>
      <c r="G96" s="5" t="inlineStr">
        <is>
          <t>x</t>
        </is>
      </c>
      <c r="H96" s="5" t="inlineStr"/>
      <c r="I96" s="5" t="inlineStr"/>
      <c r="J96" s="5" t="inlineStr"/>
      <c r="K96" s="5" t="inlineStr"/>
      <c r="L96" t="inlineStr"/>
      <c r="M96" s="6">
        <f>IF(L96&lt;&gt;"",L96,_xlfn.TEXTJOIN(" · ",TRUE,IF(F96&lt;&gt;"","Fundador",""),IF(G96&lt;&gt;"","Anjo",""),IF(H96&lt;&gt;"","VC",""),IF(I96&lt;&gt;"","Gestão",""),IF(J96&lt;&gt;"","Conselho",""),IF(K96&lt;&gt;"","Buscapé","")))</f>
        <v/>
      </c>
      <c r="N96" t="inlineStr"/>
      <c r="O96" s="5" t="inlineStr"/>
      <c r="P96" t="inlineStr">
        <is>
          <t>Encerrada</t>
        </is>
      </c>
      <c r="Q96" s="5" t="inlineStr"/>
      <c r="R96" s="5" t="inlineStr"/>
      <c r="S96" t="inlineStr"/>
      <c r="T96" t="inlineStr"/>
      <c r="U96" t="inlineStr">
        <is>
          <t>humortadela.png</t>
        </is>
      </c>
      <c r="V96" t="inlineStr"/>
      <c r="W96" t="inlineStr"/>
      <c r="X96" t="inlineStr"/>
      <c r="Y96" t="inlineStr"/>
      <c r="Z96" t="inlineStr"/>
      <c r="AA96" t="inlineStr"/>
      <c r="AB96" t="inlineStr"/>
    </row>
    <row r="97">
      <c r="A97" s="5" t="inlineStr">
        <is>
          <t>1080</t>
        </is>
      </c>
      <c r="B97" s="5" t="inlineStr">
        <is>
          <t>x</t>
        </is>
      </c>
      <c r="C97" s="5" t="inlineStr"/>
      <c r="D97" t="inlineStr">
        <is>
          <t>Ingresse</t>
        </is>
      </c>
      <c r="E97" t="inlineStr"/>
      <c r="F97" s="5" t="inlineStr"/>
      <c r="G97" s="5" t="inlineStr">
        <is>
          <t>x</t>
        </is>
      </c>
      <c r="H97" s="5" t="inlineStr"/>
      <c r="I97" s="5" t="inlineStr"/>
      <c r="J97" s="5" t="inlineStr"/>
      <c r="K97" s="5" t="inlineStr"/>
      <c r="L97" t="inlineStr"/>
      <c r="M97" s="6">
        <f>IF(L97&lt;&gt;"",L97,_xlfn.TEXTJOIN(" · ",TRUE,IF(F97&lt;&gt;"","Fundador",""),IF(G97&lt;&gt;"","Anjo",""),IF(H97&lt;&gt;"","VC",""),IF(I97&lt;&gt;"","Gestão",""),IF(J97&lt;&gt;"","Conselho",""),IF(K97&lt;&gt;"","Buscapé","")))</f>
        <v/>
      </c>
      <c r="N97" t="inlineStr"/>
      <c r="O97" s="5" t="inlineStr"/>
      <c r="P97" t="inlineStr">
        <is>
          <t>Saída</t>
        </is>
      </c>
      <c r="Q97" s="5" t="inlineStr">
        <is>
          <t>x</t>
        </is>
      </c>
      <c r="R97" s="5" t="inlineStr"/>
      <c r="S97" t="inlineStr">
        <is>
          <t>https://ingresse.com/</t>
        </is>
      </c>
      <c r="T97" t="inlineStr">
        <is>
          <t>https://www.crunchbase.com/organization/ingresse</t>
        </is>
      </c>
      <c r="U97" t="inlineStr">
        <is>
          <t>ingresse.png</t>
        </is>
      </c>
      <c r="V97" t="inlineStr"/>
      <c r="W97" t="inlineStr"/>
      <c r="X97" t="inlineStr"/>
      <c r="Y97" t="inlineStr"/>
      <c r="Z97" t="inlineStr"/>
      <c r="AA97" t="inlineStr"/>
      <c r="AB97" t="inlineStr"/>
    </row>
    <row r="98">
      <c r="A98" s="5" t="inlineStr">
        <is>
          <t>1090</t>
        </is>
      </c>
      <c r="B98" s="5" t="inlineStr">
        <is>
          <t>x</t>
        </is>
      </c>
      <c r="C98" s="5" t="inlineStr"/>
      <c r="D98" t="inlineStr">
        <is>
          <t>Lema21</t>
        </is>
      </c>
      <c r="E98" t="inlineStr"/>
      <c r="F98" s="5" t="inlineStr"/>
      <c r="G98" s="5" t="inlineStr">
        <is>
          <t>x</t>
        </is>
      </c>
      <c r="H98" s="5" t="inlineStr"/>
      <c r="I98" s="5" t="inlineStr"/>
      <c r="J98" s="5" t="inlineStr"/>
      <c r="K98" s="5" t="inlineStr"/>
      <c r="L98" t="inlineStr"/>
      <c r="M98" s="6">
        <f>IF(L98&lt;&gt;"",L98,_xlfn.TEXTJOIN(" · ",TRUE,IF(F98&lt;&gt;"","Fundador",""),IF(G98&lt;&gt;"","Anjo",""),IF(H98&lt;&gt;"","VC",""),IF(I98&lt;&gt;"","Gestão",""),IF(J98&lt;&gt;"","Conselho",""),IF(K98&lt;&gt;"","Buscapé","")))</f>
        <v/>
      </c>
      <c r="N98" t="inlineStr">
        <is>
          <t>Vendida à Essilor</t>
        </is>
      </c>
      <c r="O98" s="5" t="inlineStr"/>
      <c r="P98" t="inlineStr">
        <is>
          <t>Adquirida</t>
        </is>
      </c>
      <c r="Q98" s="5" t="inlineStr">
        <is>
          <t>x</t>
        </is>
      </c>
      <c r="R98" s="5" t="inlineStr"/>
      <c r="S98" t="inlineStr"/>
      <c r="T98" t="inlineStr">
        <is>
          <t>https://www.crunchbase.com/organization/lema21</t>
        </is>
      </c>
      <c r="U98" t="inlineStr">
        <is>
          <t>lema21.png</t>
        </is>
      </c>
      <c r="V98" t="inlineStr"/>
      <c r="W98" t="inlineStr"/>
      <c r="X98" t="inlineStr"/>
      <c r="Y98" t="inlineStr"/>
      <c r="Z98" t="inlineStr"/>
      <c r="AA98" t="inlineStr"/>
      <c r="AB98" t="inlineStr"/>
    </row>
    <row r="99">
      <c r="A99" s="5" t="inlineStr">
        <is>
          <t>1100</t>
        </is>
      </c>
      <c r="B99" s="5" t="inlineStr">
        <is>
          <t>x</t>
        </is>
      </c>
      <c r="C99" s="5" t="inlineStr"/>
      <c r="D99" t="inlineStr">
        <is>
          <t>Prontmed</t>
        </is>
      </c>
      <c r="E99" t="inlineStr"/>
      <c r="F99" s="5" t="inlineStr"/>
      <c r="G99" s="5" t="inlineStr">
        <is>
          <t>x</t>
        </is>
      </c>
      <c r="H99" s="5" t="inlineStr"/>
      <c r="I99" s="5" t="inlineStr"/>
      <c r="J99" s="5" t="inlineStr"/>
      <c r="K99" s="5" t="inlineStr"/>
      <c r="L99" t="inlineStr"/>
      <c r="M99" s="6">
        <f>IF(L99&lt;&gt;"",L99,_xlfn.TEXTJOIN(" · ",TRUE,IF(F99&lt;&gt;"","Fundador",""),IF(G99&lt;&gt;"","Anjo",""),IF(H99&lt;&gt;"","VC",""),IF(I99&lt;&gt;"","Gestão",""),IF(J99&lt;&gt;"","Conselho",""),IF(K99&lt;&gt;"","Buscapé","")))</f>
        <v/>
      </c>
      <c r="N99" t="inlineStr"/>
      <c r="O99" s="5" t="inlineStr"/>
      <c r="P99" t="inlineStr">
        <is>
          <t>Encerrada</t>
        </is>
      </c>
      <c r="Q99" s="5" t="inlineStr"/>
      <c r="R99" s="5" t="inlineStr"/>
      <c r="S99" t="inlineStr">
        <is>
          <t>https://www.prontmed.com</t>
        </is>
      </c>
      <c r="T99" t="inlineStr">
        <is>
          <t>https://www.crunchbase.com/organization/prontmed</t>
        </is>
      </c>
      <c r="U99" t="inlineStr">
        <is>
          <t>prontmed.png</t>
        </is>
      </c>
      <c r="V99" t="inlineStr"/>
      <c r="W99" t="inlineStr"/>
      <c r="X99" t="inlineStr"/>
      <c r="Y99" t="inlineStr"/>
      <c r="Z99" t="inlineStr"/>
      <c r="AA99" t="inlineStr"/>
      <c r="AB99" t="inlineStr"/>
    </row>
    <row r="100">
      <c r="A100" s="5" t="inlineStr">
        <is>
          <t>1110</t>
        </is>
      </c>
      <c r="B100" s="5" t="inlineStr">
        <is>
          <t>x</t>
        </is>
      </c>
      <c r="C100" s="5" t="inlineStr"/>
      <c r="D100" t="inlineStr">
        <is>
          <t>Qipu / MEI Grátis</t>
        </is>
      </c>
      <c r="E100" t="inlineStr"/>
      <c r="F100" s="5" t="inlineStr"/>
      <c r="G100" s="5" t="inlineStr">
        <is>
          <t>x</t>
        </is>
      </c>
      <c r="H100" s="5" t="inlineStr"/>
      <c r="I100" s="5" t="inlineStr"/>
      <c r="J100" s="5" t="inlineStr"/>
      <c r="K100" s="5" t="inlineStr"/>
      <c r="L100" t="inlineStr"/>
      <c r="M100" s="6">
        <f>IF(L100&lt;&gt;"",L100,_xlfn.TEXTJOIN(" · ",TRUE,IF(F100&lt;&gt;"","Fundador",""),IF(G100&lt;&gt;"","Anjo",""),IF(H100&lt;&gt;"","VC",""),IF(I100&lt;&gt;"","Gestão",""),IF(J100&lt;&gt;"","Conselho",""),IF(K100&lt;&gt;"","Buscapé","")))</f>
        <v/>
      </c>
      <c r="N100" t="inlineStr"/>
      <c r="O100" s="5" t="inlineStr"/>
      <c r="P100" t="inlineStr">
        <is>
          <t>Ativa</t>
        </is>
      </c>
      <c r="Q100" s="5" t="inlineStr"/>
      <c r="R100" s="5" t="inlineStr"/>
      <c r="S100" t="inlineStr">
        <is>
          <t>https://qipu.com.br/</t>
        </is>
      </c>
      <c r="T100" t="inlineStr">
        <is>
          <t>https://www.crunchbase.com/organization/qipu</t>
        </is>
      </c>
      <c r="U100" t="inlineStr">
        <is>
          <t>qipu-mei-gratis.png</t>
        </is>
      </c>
      <c r="V100" t="inlineStr"/>
      <c r="W100" t="inlineStr"/>
      <c r="X100" t="inlineStr"/>
      <c r="Y100" t="inlineStr"/>
      <c r="Z100" t="inlineStr"/>
      <c r="AA100" t="inlineStr"/>
      <c r="AB100" t="inlineStr"/>
    </row>
    <row r="101">
      <c r="A101" s="5" t="inlineStr">
        <is>
          <t>1120</t>
        </is>
      </c>
      <c r="B101" s="5" t="inlineStr">
        <is>
          <t>x</t>
        </is>
      </c>
      <c r="C101" s="5" t="inlineStr"/>
      <c r="D101" t="inlineStr">
        <is>
          <t>Quero Educação</t>
        </is>
      </c>
      <c r="E101" t="inlineStr"/>
      <c r="F101" s="5" t="inlineStr"/>
      <c r="G101" s="5" t="inlineStr">
        <is>
          <t>x</t>
        </is>
      </c>
      <c r="H101" s="5" t="inlineStr"/>
      <c r="I101" s="5" t="inlineStr"/>
      <c r="J101" s="5" t="inlineStr"/>
      <c r="K101" s="5" t="inlineStr"/>
      <c r="L101" t="inlineStr"/>
      <c r="M101" s="6">
        <f>IF(L101&lt;&gt;"",L101,_xlfn.TEXTJOIN(" · ",TRUE,IF(F101&lt;&gt;"","Fundador",""),IF(G101&lt;&gt;"","Anjo",""),IF(H101&lt;&gt;"","VC",""),IF(I101&lt;&gt;"","Gestão",""),IF(J101&lt;&gt;"","Conselho",""),IF(K101&lt;&gt;"","Buscapé","")))</f>
        <v/>
      </c>
      <c r="N101" t="inlineStr"/>
      <c r="O101" s="5" t="inlineStr"/>
      <c r="P101" t="inlineStr">
        <is>
          <t>Ativa</t>
        </is>
      </c>
      <c r="Q101" s="5" t="inlineStr"/>
      <c r="R101" s="5" t="inlineStr"/>
      <c r="S101" t="inlineStr"/>
      <c r="T101" t="inlineStr">
        <is>
          <t>https://www.crunchbase.com/organization/quero-education</t>
        </is>
      </c>
      <c r="U101" t="inlineStr">
        <is>
          <t>quero-educacao.png</t>
        </is>
      </c>
      <c r="V101" t="inlineStr"/>
      <c r="W101" t="inlineStr"/>
      <c r="X101" t="inlineStr"/>
      <c r="Y101" t="inlineStr"/>
      <c r="Z101" t="inlineStr"/>
      <c r="AA101" t="inlineStr"/>
      <c r="AB101" t="inlineStr"/>
    </row>
    <row r="102">
      <c r="A102" s="5" t="inlineStr">
        <is>
          <t>1130</t>
        </is>
      </c>
      <c r="B102" s="5" t="inlineStr">
        <is>
          <t>x</t>
        </is>
      </c>
      <c r="C102" s="5" t="inlineStr"/>
      <c r="D102" t="inlineStr">
        <is>
          <t>SP Ventures</t>
        </is>
      </c>
      <c r="E102" t="inlineStr"/>
      <c r="F102" s="5" t="inlineStr"/>
      <c r="G102" s="5" t="inlineStr">
        <is>
          <t>x</t>
        </is>
      </c>
      <c r="H102" s="5" t="inlineStr"/>
      <c r="I102" s="5" t="inlineStr"/>
      <c r="J102" s="5" t="inlineStr"/>
      <c r="K102" s="5" t="inlineStr"/>
      <c r="L102" t="inlineStr"/>
      <c r="M102" s="6">
        <f>IF(L102&lt;&gt;"",L102,_xlfn.TEXTJOIN(" · ",TRUE,IF(F102&lt;&gt;"","Fundador",""),IF(G102&lt;&gt;"","Anjo",""),IF(H102&lt;&gt;"","VC",""),IF(I102&lt;&gt;"","Gestão",""),IF(J102&lt;&gt;"","Conselho",""),IF(K102&lt;&gt;"","Buscapé","")))</f>
        <v/>
      </c>
      <c r="N102" t="inlineStr">
        <is>
          <t>Vendida aos gestores</t>
        </is>
      </c>
      <c r="O102" s="5" t="inlineStr"/>
      <c r="P102" t="inlineStr">
        <is>
          <t>Saída</t>
        </is>
      </c>
      <c r="Q102" s="5" t="inlineStr">
        <is>
          <t>x</t>
        </is>
      </c>
      <c r="R102" s="5" t="inlineStr"/>
      <c r="S102" t="inlineStr">
        <is>
          <t>https://spventures.com.br/</t>
        </is>
      </c>
      <c r="T102" t="inlineStr">
        <is>
          <t>https://www.crunchbase.com/organization/sp-ventures</t>
        </is>
      </c>
      <c r="U102" t="inlineStr">
        <is>
          <t>sp-ventures-2026.png</t>
        </is>
      </c>
      <c r="V102" t="inlineStr"/>
      <c r="W102" t="inlineStr"/>
      <c r="X102" t="inlineStr"/>
      <c r="Y102" t="inlineStr"/>
      <c r="Z102" t="inlineStr"/>
      <c r="AA102" t="inlineStr"/>
      <c r="AB102" t="inlineStr"/>
    </row>
    <row r="103">
      <c r="A103" s="5" t="inlineStr">
        <is>
          <t>1140</t>
        </is>
      </c>
      <c r="B103" s="5" t="inlineStr">
        <is>
          <t>x</t>
        </is>
      </c>
      <c r="C103" s="5" t="inlineStr"/>
      <c r="D103" t="inlineStr">
        <is>
          <t>SetYou</t>
        </is>
      </c>
      <c r="E103" t="inlineStr"/>
      <c r="F103" s="5" t="inlineStr"/>
      <c r="G103" s="5" t="inlineStr">
        <is>
          <t>x</t>
        </is>
      </c>
      <c r="H103" s="5" t="inlineStr"/>
      <c r="I103" s="5" t="inlineStr"/>
      <c r="J103" s="5" t="inlineStr"/>
      <c r="K103" s="5" t="inlineStr"/>
      <c r="L103" t="inlineStr"/>
      <c r="M103" s="6">
        <f>IF(L103&lt;&gt;"",L103,_xlfn.TEXTJOIN(" · ",TRUE,IF(F103&lt;&gt;"","Fundador",""),IF(G103&lt;&gt;"","Anjo",""),IF(H103&lt;&gt;"","VC",""),IF(I103&lt;&gt;"","Gestão",""),IF(J103&lt;&gt;"","Conselho",""),IF(K103&lt;&gt;"","Buscapé","")))</f>
        <v/>
      </c>
      <c r="N103" t="inlineStr"/>
      <c r="O103" s="5" t="inlineStr"/>
      <c r="P103" t="inlineStr">
        <is>
          <t>Ativa</t>
        </is>
      </c>
      <c r="Q103" s="5" t="inlineStr"/>
      <c r="R103" s="5" t="inlineStr"/>
      <c r="S103" t="inlineStr">
        <is>
          <t>https://setyou.com.br/</t>
        </is>
      </c>
      <c r="T103" t="inlineStr">
        <is>
          <t>https://www.crunchbase.com/organization/set-you</t>
        </is>
      </c>
      <c r="U103" t="inlineStr">
        <is>
          <t>setyou.png</t>
        </is>
      </c>
      <c r="V103" t="inlineStr"/>
      <c r="W103" t="inlineStr"/>
      <c r="X103" t="inlineStr"/>
      <c r="Y103" t="inlineStr"/>
      <c r="Z103" t="inlineStr"/>
      <c r="AA103" t="inlineStr"/>
      <c r="AB103" t="inlineStr"/>
    </row>
    <row r="104">
      <c r="A104" s="5" t="inlineStr">
        <is>
          <t>1150</t>
        </is>
      </c>
      <c r="B104" s="5" t="inlineStr">
        <is>
          <t>x</t>
        </is>
      </c>
      <c r="C104" s="5" t="inlineStr"/>
      <c r="D104" t="inlineStr">
        <is>
          <t>ViajaNet</t>
        </is>
      </c>
      <c r="E104" t="inlineStr"/>
      <c r="F104" s="5" t="inlineStr"/>
      <c r="G104" s="5" t="inlineStr"/>
      <c r="H104" s="5" t="inlineStr">
        <is>
          <t>x</t>
        </is>
      </c>
      <c r="I104" s="5" t="inlineStr"/>
      <c r="J104" s="5" t="inlineStr"/>
      <c r="K104" s="5" t="inlineStr"/>
      <c r="L104" t="inlineStr"/>
      <c r="M104" s="6">
        <f>IF(L104&lt;&gt;"",L104,_xlfn.TEXTJOIN(" · ",TRUE,IF(F104&lt;&gt;"","Fundador",""),IF(G104&lt;&gt;"","Anjo",""),IF(H104&lt;&gt;"","VC",""),IF(I104&lt;&gt;"","Gestão",""),IF(J104&lt;&gt;"","Conselho",""),IF(K104&lt;&gt;"","Buscapé","")))</f>
        <v/>
      </c>
      <c r="N104" t="inlineStr">
        <is>
          <t>Vendida à Decolar</t>
        </is>
      </c>
      <c r="O104" s="5" t="inlineStr"/>
      <c r="P104" t="inlineStr">
        <is>
          <t>Saída</t>
        </is>
      </c>
      <c r="Q104" s="5" t="inlineStr">
        <is>
          <t>x</t>
        </is>
      </c>
      <c r="R104" s="5" t="inlineStr"/>
      <c r="S104" t="inlineStr"/>
      <c r="T104" t="inlineStr">
        <is>
          <t>https://www.crunchbase.com/organization/viajanet</t>
        </is>
      </c>
      <c r="U104" t="inlineStr">
        <is>
          <t>viajanet.png</t>
        </is>
      </c>
      <c r="V104" t="inlineStr"/>
      <c r="W104" t="inlineStr"/>
      <c r="X104" t="inlineStr"/>
      <c r="Y104" t="inlineStr"/>
      <c r="Z104" t="inlineStr"/>
      <c r="AA104" t="inlineStr"/>
      <c r="AB104" t="inlineStr"/>
    </row>
    <row r="105">
      <c r="A105" s="5" t="inlineStr">
        <is>
          <t>1900</t>
        </is>
      </c>
      <c r="B105" s="5" t="inlineStr">
        <is>
          <t>x</t>
        </is>
      </c>
      <c r="C105" s="5" t="inlineStr"/>
      <c r="D105" t="inlineStr">
        <is>
          <t>Ceneo</t>
        </is>
      </c>
      <c r="E105" t="inlineStr"/>
      <c r="F105" s="5" t="inlineStr"/>
      <c r="G105" s="5" t="inlineStr"/>
      <c r="H105" s="5" t="inlineStr"/>
      <c r="I105" s="5" t="inlineStr"/>
      <c r="J105" s="5" t="inlineStr"/>
      <c r="K105" s="5" t="inlineStr">
        <is>
          <t>x</t>
        </is>
      </c>
      <c r="L105" t="inlineStr"/>
      <c r="M105" s="6">
        <f>IF(L105&lt;&gt;"",L105,_xlfn.TEXTJOIN(" · ",TRUE,IF(F105&lt;&gt;"","Fundador",""),IF(G105&lt;&gt;"","Anjo",""),IF(H105&lt;&gt;"","VC",""),IF(I105&lt;&gt;"","Gestão",""),IF(J105&lt;&gt;"","Conselho",""),IF(K105&lt;&gt;"","Buscapé","")))</f>
        <v/>
      </c>
      <c r="N105" t="inlineStr"/>
      <c r="O105" s="5" t="inlineStr">
        <is>
          <t>2014</t>
        </is>
      </c>
      <c r="P105" t="inlineStr"/>
      <c r="Q105" s="5" t="inlineStr"/>
      <c r="R105" s="5" t="inlineStr"/>
      <c r="S105" t="inlineStr">
        <is>
          <t>https://www.ceneo.pl/</t>
        </is>
      </c>
      <c r="T105" t="inlineStr">
        <is>
          <t>https://www.crunchbase.com/organization/ceneo</t>
        </is>
      </c>
      <c r="U105" t="inlineStr">
        <is>
          <t>ceneo.png</t>
        </is>
      </c>
      <c r="V105" t="inlineStr"/>
      <c r="W105" t="inlineStr"/>
      <c r="X105" t="inlineStr"/>
      <c r="Y105" t="inlineStr"/>
      <c r="Z105" t="inlineStr"/>
      <c r="AA105" t="inlineStr"/>
      <c r="AB105" t="inlineStr"/>
    </row>
    <row r="106">
      <c r="A106" s="5" t="inlineStr">
        <is>
          <t>1901</t>
        </is>
      </c>
      <c r="B106" s="5" t="inlineStr">
        <is>
          <t>x</t>
        </is>
      </c>
      <c r="C106" s="5" t="inlineStr"/>
      <c r="D106" t="inlineStr">
        <is>
          <t>Compari</t>
        </is>
      </c>
      <c r="E106" t="inlineStr"/>
      <c r="F106" s="5" t="inlineStr"/>
      <c r="G106" s="5" t="inlineStr"/>
      <c r="H106" s="5" t="inlineStr"/>
      <c r="I106" s="5" t="inlineStr"/>
      <c r="J106" s="5" t="inlineStr"/>
      <c r="K106" s="5" t="inlineStr">
        <is>
          <t>x</t>
        </is>
      </c>
      <c r="L106" t="inlineStr"/>
      <c r="M106" s="6">
        <f>IF(L106&lt;&gt;"",L106,_xlfn.TEXTJOIN(" · ",TRUE,IF(F106&lt;&gt;"","Fundador",""),IF(G106&lt;&gt;"","Anjo",""),IF(H106&lt;&gt;"","VC",""),IF(I106&lt;&gt;"","Gestão",""),IF(J106&lt;&gt;"","Conselho",""),IF(K106&lt;&gt;"","Buscapé","")))</f>
        <v/>
      </c>
      <c r="N106" t="inlineStr"/>
      <c r="O106" s="5" t="inlineStr">
        <is>
          <t>2014</t>
        </is>
      </c>
      <c r="P106" t="inlineStr"/>
      <c r="Q106" s="5" t="inlineStr"/>
      <c r="R106" s="5" t="inlineStr"/>
      <c r="S106" t="inlineStr"/>
      <c r="T106" t="inlineStr"/>
      <c r="U106" t="inlineStr">
        <is>
          <t>compari.png</t>
        </is>
      </c>
      <c r="V106" t="inlineStr"/>
      <c r="W106" t="inlineStr"/>
      <c r="X106" t="inlineStr"/>
      <c r="Y106" t="inlineStr"/>
      <c r="Z106" t="inlineStr"/>
      <c r="AA106" t="inlineStr"/>
      <c r="AB106" t="inlineStr"/>
    </row>
    <row r="107">
      <c r="A107" s="5" t="inlineStr">
        <is>
          <t>1902</t>
        </is>
      </c>
      <c r="B107" s="5" t="inlineStr">
        <is>
          <t>x</t>
        </is>
      </c>
      <c r="C107" s="5" t="inlineStr"/>
      <c r="D107" t="inlineStr">
        <is>
          <t>Drezzi</t>
        </is>
      </c>
      <c r="E107" t="inlineStr"/>
      <c r="F107" s="5" t="inlineStr"/>
      <c r="G107" s="5" t="inlineStr"/>
      <c r="H107" s="5" t="inlineStr"/>
      <c r="I107" s="5" t="inlineStr"/>
      <c r="J107" s="5" t="inlineStr"/>
      <c r="K107" s="5" t="inlineStr">
        <is>
          <t>x</t>
        </is>
      </c>
      <c r="L107" t="inlineStr"/>
      <c r="M107" s="6">
        <f>IF(L107&lt;&gt;"",L107,_xlfn.TEXTJOIN(" · ",TRUE,IF(F107&lt;&gt;"","Fundador",""),IF(G107&lt;&gt;"","Anjo",""),IF(H107&lt;&gt;"","VC",""),IF(I107&lt;&gt;"","Gestão",""),IF(J107&lt;&gt;"","Conselho",""),IF(K107&lt;&gt;"","Buscapé","")))</f>
        <v/>
      </c>
      <c r="N107" t="inlineStr"/>
      <c r="O107" s="5" t="inlineStr">
        <is>
          <t>2014</t>
        </is>
      </c>
      <c r="P107" t="inlineStr"/>
      <c r="Q107" s="5" t="inlineStr"/>
      <c r="R107" s="5" t="inlineStr"/>
      <c r="S107" t="inlineStr"/>
      <c r="T107" t="inlineStr">
        <is>
          <t>https://www.crunchbase.com/organization/drezzy</t>
        </is>
      </c>
      <c r="U107" t="inlineStr"/>
      <c r="V107" t="inlineStr"/>
      <c r="W107" t="inlineStr"/>
      <c r="X107" t="inlineStr"/>
      <c r="Y107" t="inlineStr"/>
      <c r="Z107" t="inlineStr"/>
      <c r="AA107" t="inlineStr"/>
      <c r="AB107" t="inlineStr"/>
    </row>
    <row r="108">
      <c r="A108" s="5" t="inlineStr">
        <is>
          <t>1903</t>
        </is>
      </c>
      <c r="B108" s="5" t="inlineStr">
        <is>
          <t>x</t>
        </is>
      </c>
      <c r="C108" s="5" t="inlineStr"/>
      <c r="D108" t="inlineStr">
        <is>
          <t>Heureka</t>
        </is>
      </c>
      <c r="E108" t="inlineStr"/>
      <c r="F108" s="5" t="inlineStr"/>
      <c r="G108" s="5" t="inlineStr"/>
      <c r="H108" s="5" t="inlineStr"/>
      <c r="I108" s="5" t="inlineStr"/>
      <c r="J108" s="5" t="inlineStr"/>
      <c r="K108" s="5" t="inlineStr">
        <is>
          <t>x</t>
        </is>
      </c>
      <c r="L108" t="inlineStr"/>
      <c r="M108" s="6">
        <f>IF(L108&lt;&gt;"",L108,_xlfn.TEXTJOIN(" · ",TRUE,IF(F108&lt;&gt;"","Fundador",""),IF(G108&lt;&gt;"","Anjo",""),IF(H108&lt;&gt;"","VC",""),IF(I108&lt;&gt;"","Gestão",""),IF(J108&lt;&gt;"","Conselho",""),IF(K108&lt;&gt;"","Buscapé","")))</f>
        <v/>
      </c>
      <c r="N108" t="inlineStr"/>
      <c r="O108" s="5" t="inlineStr">
        <is>
          <t>2014</t>
        </is>
      </c>
      <c r="P108" t="inlineStr"/>
      <c r="Q108" s="5" t="inlineStr"/>
      <c r="R108" s="5" t="inlineStr"/>
      <c r="S108" t="inlineStr"/>
      <c r="T108" t="inlineStr">
        <is>
          <t>https://www.crunchbase.com/organization/heureka-group</t>
        </is>
      </c>
      <c r="U108" t="inlineStr">
        <is>
          <t>heureka.png</t>
        </is>
      </c>
      <c r="V108" t="inlineStr"/>
      <c r="W108" t="inlineStr"/>
      <c r="X108" t="inlineStr"/>
      <c r="Y108" t="inlineStr"/>
      <c r="Z108" t="inlineStr"/>
      <c r="AA108" t="inlineStr"/>
      <c r="AB108" t="inlineStr"/>
    </row>
    <row r="109">
      <c r="A109" s="5" t="inlineStr">
        <is>
          <t>1904</t>
        </is>
      </c>
      <c r="B109" s="5" t="inlineStr"/>
      <c r="C109" s="5" t="inlineStr"/>
      <c r="D109" t="inlineStr">
        <is>
          <t>Misshobby</t>
        </is>
      </c>
      <c r="E109" t="inlineStr"/>
      <c r="F109" s="5" t="inlineStr"/>
      <c r="G109" s="5" t="inlineStr"/>
      <c r="H109" s="5" t="inlineStr"/>
      <c r="I109" s="5" t="inlineStr">
        <is>
          <t>x</t>
        </is>
      </c>
      <c r="J109" s="5" t="inlineStr">
        <is>
          <t>x</t>
        </is>
      </c>
      <c r="K109" s="5" t="inlineStr"/>
      <c r="L109" t="inlineStr"/>
      <c r="M109" s="6">
        <f>IF(L109&lt;&gt;"",L109,_xlfn.TEXTJOIN(" · ",TRUE,IF(F109&lt;&gt;"","Fundador",""),IF(G109&lt;&gt;"","Anjo",""),IF(H109&lt;&gt;"","VC",""),IF(I109&lt;&gt;"","Gestão",""),IF(J109&lt;&gt;"","Conselho",""),IF(K109&lt;&gt;"","Buscapé","")))</f>
        <v/>
      </c>
      <c r="N109" t="inlineStr"/>
      <c r="O109" s="5" t="inlineStr">
        <is>
          <t>2014</t>
        </is>
      </c>
      <c r="P109" t="inlineStr"/>
      <c r="Q109" s="5" t="inlineStr"/>
      <c r="R109" s="5" t="inlineStr"/>
      <c r="S109" t="inlineStr">
        <is>
          <t>https://www.misshobby.com/it</t>
        </is>
      </c>
      <c r="T109" t="inlineStr"/>
      <c r="U109" t="inlineStr">
        <is>
          <t>misshobby.png</t>
        </is>
      </c>
      <c r="V109" t="inlineStr"/>
      <c r="W109" t="inlineStr"/>
      <c r="X109" t="inlineStr"/>
      <c r="Y109" t="inlineStr"/>
      <c r="Z109" t="inlineStr"/>
      <c r="AA109" t="inlineStr"/>
      <c r="AB109" t="inlineStr"/>
    </row>
    <row r="110">
      <c r="A110" s="5" t="inlineStr">
        <is>
          <t>1905</t>
        </is>
      </c>
      <c r="B110" s="5" t="inlineStr">
        <is>
          <t>x</t>
        </is>
      </c>
      <c r="C110" s="5" t="inlineStr"/>
      <c r="D110" t="inlineStr">
        <is>
          <t>Pazaruvaj</t>
        </is>
      </c>
      <c r="E110" t="inlineStr"/>
      <c r="F110" s="5" t="inlineStr"/>
      <c r="G110" s="5" t="inlineStr"/>
      <c r="H110" s="5" t="inlineStr"/>
      <c r="I110" s="5" t="inlineStr"/>
      <c r="J110" s="5" t="inlineStr"/>
      <c r="K110" s="5" t="inlineStr">
        <is>
          <t>x</t>
        </is>
      </c>
      <c r="L110" t="inlineStr"/>
      <c r="M110" s="6">
        <f>IF(L110&lt;&gt;"",L110,_xlfn.TEXTJOIN(" · ",TRUE,IF(F110&lt;&gt;"","Fundador",""),IF(G110&lt;&gt;"","Anjo",""),IF(H110&lt;&gt;"","VC",""),IF(I110&lt;&gt;"","Gestão",""),IF(J110&lt;&gt;"","Conselho",""),IF(K110&lt;&gt;"","Buscapé","")))</f>
        <v/>
      </c>
      <c r="N110" t="inlineStr"/>
      <c r="O110" s="5" t="inlineStr">
        <is>
          <t>2014</t>
        </is>
      </c>
      <c r="P110" t="inlineStr"/>
      <c r="Q110" s="5" t="inlineStr"/>
      <c r="R110" s="5" t="inlineStr"/>
      <c r="S110" t="inlineStr"/>
      <c r="T110" t="inlineStr"/>
      <c r="U110" t="inlineStr">
        <is>
          <t>pazaruvaj.png</t>
        </is>
      </c>
      <c r="V110" t="inlineStr"/>
      <c r="W110" t="inlineStr"/>
      <c r="X110" t="inlineStr"/>
      <c r="Y110" t="inlineStr"/>
      <c r="Z110" t="inlineStr"/>
      <c r="AA110" t="inlineStr"/>
      <c r="AB110" t="inlineStr"/>
    </row>
    <row r="111">
      <c r="A111" s="5" t="inlineStr">
        <is>
          <t>1906</t>
        </is>
      </c>
      <c r="B111" s="5" t="inlineStr">
        <is>
          <t>x</t>
        </is>
      </c>
      <c r="C111" s="5" t="inlineStr"/>
      <c r="D111" t="inlineStr">
        <is>
          <t>PriceCheck</t>
        </is>
      </c>
      <c r="E111" t="inlineStr"/>
      <c r="F111" s="5" t="inlineStr"/>
      <c r="G111" s="5" t="inlineStr"/>
      <c r="H111" s="5" t="inlineStr"/>
      <c r="I111" s="5" t="inlineStr"/>
      <c r="J111" s="5" t="inlineStr"/>
      <c r="K111" s="5" t="inlineStr">
        <is>
          <t>x</t>
        </is>
      </c>
      <c r="L111" t="inlineStr"/>
      <c r="M111" s="6">
        <f>IF(L111&lt;&gt;"",L111,_xlfn.TEXTJOIN(" · ",TRUE,IF(F111&lt;&gt;"","Fundador",""),IF(G111&lt;&gt;"","Anjo",""),IF(H111&lt;&gt;"","VC",""),IF(I111&lt;&gt;"","Gestão",""),IF(J111&lt;&gt;"","Conselho",""),IF(K111&lt;&gt;"","Buscapé","")))</f>
        <v/>
      </c>
      <c r="N111" t="inlineStr"/>
      <c r="O111" s="5" t="inlineStr">
        <is>
          <t>2014</t>
        </is>
      </c>
      <c r="P111" t="inlineStr"/>
      <c r="Q111" s="5" t="inlineStr"/>
      <c r="R111" s="5" t="inlineStr"/>
      <c r="S111" t="inlineStr"/>
      <c r="T111" t="inlineStr">
        <is>
          <t>https://www.crunchbase.com/organization/pricecheck</t>
        </is>
      </c>
      <c r="U111" t="inlineStr">
        <is>
          <t>pricecheck.png</t>
        </is>
      </c>
      <c r="V111" t="inlineStr"/>
      <c r="W111" t="inlineStr"/>
      <c r="X111" t="inlineStr"/>
      <c r="Y111" t="inlineStr"/>
      <c r="Z111" t="inlineStr"/>
      <c r="AA111" t="inlineStr"/>
      <c r="AB111" t="inlineStr"/>
    </row>
    <row r="112">
      <c r="A112" s="5" t="inlineStr">
        <is>
          <t>1907</t>
        </is>
      </c>
      <c r="B112" s="5" t="inlineStr">
        <is>
          <t>x</t>
        </is>
      </c>
      <c r="C112" s="5" t="inlineStr"/>
      <c r="D112" t="inlineStr">
        <is>
          <t>ShoppyDoo</t>
        </is>
      </c>
      <c r="E112" t="inlineStr"/>
      <c r="F112" s="5" t="inlineStr"/>
      <c r="G112" s="5" t="inlineStr"/>
      <c r="H112" s="5" t="inlineStr"/>
      <c r="I112" s="5" t="inlineStr"/>
      <c r="J112" s="5" t="inlineStr"/>
      <c r="K112" s="5" t="inlineStr">
        <is>
          <t>x</t>
        </is>
      </c>
      <c r="L112" t="inlineStr"/>
      <c r="M112" s="6">
        <f>IF(L112&lt;&gt;"",L112,_xlfn.TEXTJOIN(" · ",TRUE,IF(F112&lt;&gt;"","Fundador",""),IF(G112&lt;&gt;"","Anjo",""),IF(H112&lt;&gt;"","VC",""),IF(I112&lt;&gt;"","Gestão",""),IF(J112&lt;&gt;"","Conselho",""),IF(K112&lt;&gt;"","Buscapé","")))</f>
        <v/>
      </c>
      <c r="N112" t="inlineStr"/>
      <c r="O112" s="5" t="inlineStr">
        <is>
          <t>2014</t>
        </is>
      </c>
      <c r="P112" t="inlineStr"/>
      <c r="Q112" s="5" t="inlineStr"/>
      <c r="R112" s="5" t="inlineStr"/>
      <c r="S112" t="inlineStr">
        <is>
          <t>https://www.shoppydoo.it/</t>
        </is>
      </c>
      <c r="T112" t="inlineStr">
        <is>
          <t>https://www.crunchbase.com/organization/shoppydoo</t>
        </is>
      </c>
      <c r="U112" t="inlineStr">
        <is>
          <t>shoppydoo.png</t>
        </is>
      </c>
      <c r="V112" t="inlineStr"/>
      <c r="W112" t="inlineStr"/>
      <c r="X112" t="inlineStr"/>
      <c r="Y112" t="inlineStr"/>
      <c r="Z112" t="inlineStr"/>
      <c r="AA112" t="inlineStr"/>
      <c r="AB112" t="inlineStr"/>
    </row>
    <row r="113">
      <c r="A113" s="5" t="inlineStr">
        <is>
          <t>1908</t>
        </is>
      </c>
      <c r="B113" s="5" t="inlineStr">
        <is>
          <t>x</t>
        </is>
      </c>
      <c r="C113" s="5" t="inlineStr"/>
      <c r="D113" t="inlineStr">
        <is>
          <t>Trovaprezzi</t>
        </is>
      </c>
      <c r="E113" t="inlineStr"/>
      <c r="F113" s="5" t="inlineStr"/>
      <c r="G113" s="5" t="inlineStr"/>
      <c r="H113" s="5" t="inlineStr"/>
      <c r="I113" s="5" t="inlineStr"/>
      <c r="J113" s="5" t="inlineStr"/>
      <c r="K113" s="5" t="inlineStr">
        <is>
          <t>x</t>
        </is>
      </c>
      <c r="L113" t="inlineStr"/>
      <c r="M113" s="6">
        <f>IF(L113&lt;&gt;"",L113,_xlfn.TEXTJOIN(" · ",TRUE,IF(F113&lt;&gt;"","Fundador",""),IF(G113&lt;&gt;"","Anjo",""),IF(H113&lt;&gt;"","VC",""),IF(I113&lt;&gt;"","Gestão",""),IF(J113&lt;&gt;"","Conselho",""),IF(K113&lt;&gt;"","Buscapé","")))</f>
        <v/>
      </c>
      <c r="N113" t="inlineStr"/>
      <c r="O113" s="5" t="inlineStr">
        <is>
          <t>2014</t>
        </is>
      </c>
      <c r="P113" t="inlineStr"/>
      <c r="Q113" s="5" t="inlineStr"/>
      <c r="R113" s="5" t="inlineStr"/>
      <c r="S113" t="inlineStr"/>
      <c r="T113" t="inlineStr">
        <is>
          <t>https://www.crunchbase.com/organization/trovaprezzi-it-d087</t>
        </is>
      </c>
      <c r="U113" t="inlineStr">
        <is>
          <t>trovaprezzi.png</t>
        </is>
      </c>
      <c r="V113" t="inlineStr"/>
      <c r="W113" t="inlineStr"/>
      <c r="X113" t="inlineStr"/>
      <c r="Y113" t="inlineStr"/>
      <c r="Z113" t="inlineStr"/>
      <c r="AA113" t="inlineStr"/>
      <c r="AB113" t="inlineStr"/>
    </row>
    <row r="114">
      <c r="A114" s="5" t="inlineStr">
        <is>
          <t>1909</t>
        </is>
      </c>
      <c r="B114" s="5" t="inlineStr">
        <is>
          <t>x</t>
        </is>
      </c>
      <c r="C114" s="5" t="inlineStr"/>
      <c r="D114" t="inlineStr">
        <is>
          <t>Ucuzu</t>
        </is>
      </c>
      <c r="E114" t="inlineStr"/>
      <c r="F114" s="5" t="inlineStr"/>
      <c r="G114" s="5" t="inlineStr"/>
      <c r="H114" s="5" t="inlineStr"/>
      <c r="I114" s="5" t="inlineStr"/>
      <c r="J114" s="5" t="inlineStr"/>
      <c r="K114" s="5" t="inlineStr">
        <is>
          <t>x</t>
        </is>
      </c>
      <c r="L114" t="inlineStr"/>
      <c r="M114" s="6">
        <f>IF(L114&lt;&gt;"",L114,_xlfn.TEXTJOIN(" · ",TRUE,IF(F114&lt;&gt;"","Fundador",""),IF(G114&lt;&gt;"","Anjo",""),IF(H114&lt;&gt;"","VC",""),IF(I114&lt;&gt;"","Gestão",""),IF(J114&lt;&gt;"","Conselho",""),IF(K114&lt;&gt;"","Buscapé","")))</f>
        <v/>
      </c>
      <c r="N114" t="inlineStr"/>
      <c r="O114" s="5" t="inlineStr">
        <is>
          <t>2014</t>
        </is>
      </c>
      <c r="P114" t="inlineStr"/>
      <c r="Q114" s="5" t="inlineStr"/>
      <c r="R114" s="5" t="inlineStr"/>
      <c r="S114" t="inlineStr"/>
      <c r="T114" t="inlineStr"/>
      <c r="U114" t="inlineStr"/>
      <c r="V114" t="inlineStr"/>
      <c r="W114" t="inlineStr"/>
      <c r="X114" t="inlineStr"/>
      <c r="Y114" t="inlineStr"/>
      <c r="Z114" t="inlineStr"/>
      <c r="AA114" t="inlineStr"/>
      <c r="AB114" t="inlineStr"/>
    </row>
    <row r="115">
      <c r="A115" s="5" t="inlineStr">
        <is>
          <t>1910</t>
        </is>
      </c>
      <c r="B115" s="5" t="inlineStr">
        <is>
          <t>x</t>
        </is>
      </c>
      <c r="C115" s="5" t="inlineStr"/>
      <c r="D115" t="inlineStr">
        <is>
          <t>Vcene</t>
        </is>
      </c>
      <c r="E115" t="inlineStr"/>
      <c r="F115" s="5" t="inlineStr"/>
      <c r="G115" s="5" t="inlineStr"/>
      <c r="H115" s="5" t="inlineStr"/>
      <c r="I115" s="5" t="inlineStr"/>
      <c r="J115" s="5" t="inlineStr"/>
      <c r="K115" s="5" t="inlineStr">
        <is>
          <t>x</t>
        </is>
      </c>
      <c r="L115" t="inlineStr"/>
      <c r="M115" s="6">
        <f>IF(L115&lt;&gt;"",L115,_xlfn.TEXTJOIN(" · ",TRUE,IF(F115&lt;&gt;"","Fundador",""),IF(G115&lt;&gt;"","Anjo",""),IF(H115&lt;&gt;"","VC",""),IF(I115&lt;&gt;"","Gestão",""),IF(J115&lt;&gt;"","Conselho",""),IF(K115&lt;&gt;"","Buscapé","")))</f>
        <v/>
      </c>
      <c r="N115" t="inlineStr"/>
      <c r="O115" s="5" t="inlineStr">
        <is>
          <t>2014</t>
        </is>
      </c>
      <c r="P115" t="inlineStr"/>
      <c r="Q115" s="5" t="inlineStr"/>
      <c r="R115" s="5" t="inlineStr"/>
      <c r="S115" t="inlineStr"/>
      <c r="T115" t="inlineStr">
        <is>
          <t>https://www.crunchbase.com/organization/vcene</t>
        </is>
      </c>
      <c r="U115" t="inlineStr"/>
      <c r="V115" t="inlineStr"/>
      <c r="W115" t="inlineStr"/>
      <c r="X115" t="inlineStr"/>
      <c r="Y115" t="inlineStr"/>
      <c r="Z115" t="inlineStr"/>
      <c r="AA115" t="inlineStr"/>
      <c r="AB115" t="inlineStr"/>
    </row>
    <row r="116">
      <c r="A116" s="5" t="inlineStr">
        <is>
          <t>1911</t>
        </is>
      </c>
      <c r="B116" s="5" t="inlineStr">
        <is>
          <t>x</t>
        </is>
      </c>
      <c r="C116" s="5" t="inlineStr"/>
      <c r="D116" t="inlineStr">
        <is>
          <t>Árukereső</t>
        </is>
      </c>
      <c r="E116" t="inlineStr"/>
      <c r="F116" s="5" t="inlineStr"/>
      <c r="G116" s="5" t="inlineStr"/>
      <c r="H116" s="5" t="inlineStr"/>
      <c r="I116" s="5" t="inlineStr"/>
      <c r="J116" s="5" t="inlineStr"/>
      <c r="K116" s="5" t="inlineStr">
        <is>
          <t>x</t>
        </is>
      </c>
      <c r="L116" t="inlineStr"/>
      <c r="M116" s="6">
        <f>IF(L116&lt;&gt;"",L116,_xlfn.TEXTJOIN(" · ",TRUE,IF(F116&lt;&gt;"","Fundador",""),IF(G116&lt;&gt;"","Anjo",""),IF(H116&lt;&gt;"","VC",""),IF(I116&lt;&gt;"","Gestão",""),IF(J116&lt;&gt;"","Conselho",""),IF(K116&lt;&gt;"","Buscapé","")))</f>
        <v/>
      </c>
      <c r="N116" t="inlineStr"/>
      <c r="O116" s="5" t="inlineStr">
        <is>
          <t>2014</t>
        </is>
      </c>
      <c r="P116" t="inlineStr"/>
      <c r="Q116" s="5" t="inlineStr"/>
      <c r="R116" s="5" t="inlineStr"/>
      <c r="S116" t="inlineStr"/>
      <c r="T116" t="inlineStr">
        <is>
          <t>https://www.crunchbase.com/organization/%C3%A1rukeres%C5%91</t>
        </is>
      </c>
      <c r="U116" t="inlineStr">
        <is>
          <t>arukereso.png</t>
        </is>
      </c>
      <c r="V116" t="inlineStr"/>
      <c r="W116" t="inlineStr"/>
      <c r="X116" t="inlineStr"/>
      <c r="Y116" t="inlineStr"/>
      <c r="Z116" t="inlineStr"/>
      <c r="AA116" t="inlineStr"/>
      <c r="AB116" t="inlineStr"/>
    </row>
    <row r="117">
      <c r="A117" s="5" t="inlineStr">
        <is>
          <t>2000</t>
        </is>
      </c>
      <c r="B117" s="5" t="inlineStr">
        <is>
          <t>x</t>
        </is>
      </c>
      <c r="C117" s="5" t="inlineStr"/>
      <c r="D117" t="inlineStr">
        <is>
          <t>FocoSoft</t>
        </is>
      </c>
      <c r="E117" t="inlineStr"/>
      <c r="F117" s="5" t="inlineStr">
        <is>
          <t>x</t>
        </is>
      </c>
      <c r="G117" s="5" t="inlineStr"/>
      <c r="H117" s="5" t="inlineStr"/>
      <c r="I117" s="5" t="inlineStr"/>
      <c r="J117" s="5" t="inlineStr"/>
      <c r="K117" s="5" t="inlineStr"/>
      <c r="L117" t="inlineStr"/>
      <c r="M117" s="6">
        <f>IF(L117&lt;&gt;"",L117,_xlfn.TEXTJOIN(" · ",TRUE,IF(F117&lt;&gt;"","Fundador",""),IF(G117&lt;&gt;"","Anjo",""),IF(H117&lt;&gt;"","VC",""),IF(I117&lt;&gt;"","Gestão",""),IF(J117&lt;&gt;"","Conselho",""),IF(K117&lt;&gt;"","Buscapé","")))</f>
        <v/>
      </c>
      <c r="N117" t="inlineStr"/>
      <c r="O117" s="5" t="inlineStr">
        <is>
          <t>1995</t>
        </is>
      </c>
      <c r="P117" t="inlineStr"/>
      <c r="Q117" s="5" t="inlineStr"/>
      <c r="R117" s="5" t="inlineStr"/>
      <c r="S117" t="inlineStr"/>
      <c r="T117" t="inlineStr"/>
      <c r="U117" t="inlineStr"/>
      <c r="V117" t="inlineStr"/>
      <c r="W117" t="inlineStr"/>
      <c r="X117" t="inlineStr"/>
      <c r="Y117" t="inlineStr"/>
      <c r="Z117" t="inlineStr"/>
      <c r="AA117" t="inlineStr"/>
      <c r="AB117" t="inlineStr"/>
    </row>
    <row r="118">
      <c r="A118" s="5" t="inlineStr">
        <is>
          <t>2010</t>
        </is>
      </c>
      <c r="B118" s="5" t="inlineStr">
        <is>
          <t>x</t>
        </is>
      </c>
      <c r="C118" s="5" t="inlineStr"/>
      <c r="D118" t="inlineStr">
        <is>
          <t>Curupira</t>
        </is>
      </c>
      <c r="E118" t="inlineStr"/>
      <c r="F118" s="5" t="inlineStr"/>
      <c r="G118" s="5" t="inlineStr">
        <is>
          <t>x</t>
        </is>
      </c>
      <c r="H118" s="5" t="inlineStr"/>
      <c r="I118" s="5" t="inlineStr"/>
      <c r="J118" s="5" t="inlineStr"/>
      <c r="K118" s="5" t="inlineStr"/>
      <c r="L118" t="inlineStr"/>
      <c r="M118" s="6">
        <f>IF(L118&lt;&gt;"",L118,_xlfn.TEXTJOIN(" · ",TRUE,IF(F118&lt;&gt;"","Fundador",""),IF(G118&lt;&gt;"","Anjo",""),IF(H118&lt;&gt;"","VC",""),IF(I118&lt;&gt;"","Gestão",""),IF(J118&lt;&gt;"","Conselho",""),IF(K118&lt;&gt;"","Buscapé","")))</f>
        <v/>
      </c>
      <c r="N118" t="inlineStr"/>
      <c r="O118" s="5" t="inlineStr">
        <is>
          <t>2016</t>
        </is>
      </c>
      <c r="P118" t="inlineStr">
        <is>
          <t>Encerrada</t>
        </is>
      </c>
      <c r="Q118" s="5" t="inlineStr"/>
      <c r="R118" s="5" t="inlineStr"/>
      <c r="S118" t="inlineStr"/>
      <c r="T118" t="inlineStr">
        <is>
          <t>https://www.crunchbase.com/organization/curupira</t>
        </is>
      </c>
      <c r="U118" t="inlineStr">
        <is>
          <t>curupira.png</t>
        </is>
      </c>
      <c r="V118" t="inlineStr"/>
      <c r="W118" t="inlineStr"/>
      <c r="X118" t="inlineStr"/>
      <c r="Y118" t="inlineStr"/>
      <c r="Z118" t="inlineStr"/>
      <c r="AA118" t="inlineStr"/>
      <c r="AB118" t="inlineStr"/>
    </row>
    <row r="119">
      <c r="A119" s="5" t="inlineStr">
        <is>
          <t>2020</t>
        </is>
      </c>
      <c r="B119" s="5" t="inlineStr">
        <is>
          <t>x</t>
        </is>
      </c>
      <c r="C119" s="5" t="inlineStr"/>
      <c r="D119" t="inlineStr">
        <is>
          <t>CyberCook / Vila Mulher</t>
        </is>
      </c>
      <c r="E119" t="inlineStr"/>
      <c r="F119" s="5" t="inlineStr"/>
      <c r="G119" s="5" t="inlineStr">
        <is>
          <t>x</t>
        </is>
      </c>
      <c r="H119" s="5" t="inlineStr"/>
      <c r="I119" s="5" t="inlineStr"/>
      <c r="J119" s="5" t="inlineStr"/>
      <c r="K119" s="5" t="inlineStr"/>
      <c r="L119" t="inlineStr"/>
      <c r="M119" s="6">
        <f>IF(L119&lt;&gt;"",L119,_xlfn.TEXTJOIN(" · ",TRUE,IF(F119&lt;&gt;"","Fundador",""),IF(G119&lt;&gt;"","Anjo",""),IF(H119&lt;&gt;"","VC",""),IF(I119&lt;&gt;"","Gestão",""),IF(J119&lt;&gt;"","Conselho",""),IF(K119&lt;&gt;"","Buscapé","")))</f>
        <v/>
      </c>
      <c r="N119" t="inlineStr"/>
      <c r="O119" s="5" t="inlineStr">
        <is>
          <t>2004</t>
        </is>
      </c>
      <c r="P119" t="inlineStr">
        <is>
          <t>Encerrada</t>
        </is>
      </c>
      <c r="Q119" s="5" t="inlineStr"/>
      <c r="R119" s="5" t="inlineStr"/>
      <c r="S119" t="inlineStr"/>
      <c r="T119" t="inlineStr"/>
      <c r="U119" t="inlineStr">
        <is>
          <t>cybercook.png</t>
        </is>
      </c>
      <c r="V119" t="inlineStr"/>
      <c r="W119" t="inlineStr"/>
      <c r="X119" t="inlineStr"/>
      <c r="Y119" t="inlineStr"/>
      <c r="Z119" t="inlineStr"/>
      <c r="AA119" t="inlineStr"/>
      <c r="AB119" t="inlineStr"/>
    </row>
    <row r="120">
      <c r="A120" s="5" t="inlineStr">
        <is>
          <t>2030</t>
        </is>
      </c>
      <c r="B120" s="5" t="inlineStr">
        <is>
          <t>x</t>
        </is>
      </c>
      <c r="C120" s="5" t="inlineStr"/>
      <c r="D120" t="inlineStr">
        <is>
          <t>Loteria Brasil</t>
        </is>
      </c>
      <c r="E120" t="inlineStr"/>
      <c r="F120" s="5" t="inlineStr"/>
      <c r="G120" s="5" t="inlineStr">
        <is>
          <t>x</t>
        </is>
      </c>
      <c r="H120" s="5" t="inlineStr"/>
      <c r="I120" s="5" t="inlineStr"/>
      <c r="J120" s="5" t="inlineStr"/>
      <c r="K120" s="5" t="inlineStr"/>
      <c r="L120" t="inlineStr"/>
      <c r="M120" s="6">
        <f>IF(L120&lt;&gt;"",L120,_xlfn.TEXTJOIN(" · ",TRUE,IF(F120&lt;&gt;"","Fundador",""),IF(G120&lt;&gt;"","Anjo",""),IF(H120&lt;&gt;"","VC",""),IF(I120&lt;&gt;"","Gestão",""),IF(J120&lt;&gt;"","Conselho",""),IF(K120&lt;&gt;"","Buscapé","")))</f>
        <v/>
      </c>
      <c r="N120" t="inlineStr"/>
      <c r="O120" s="5" t="inlineStr">
        <is>
          <t>2004</t>
        </is>
      </c>
      <c r="P120" t="inlineStr">
        <is>
          <t>Encerrada</t>
        </is>
      </c>
      <c r="Q120" s="5" t="inlineStr"/>
      <c r="R120" s="5" t="inlineStr"/>
      <c r="S120" t="inlineStr"/>
      <c r="T120" t="inlineStr"/>
      <c r="U120" t="inlineStr">
        <is>
          <t>loteria-brasil.png</t>
        </is>
      </c>
      <c r="V120" t="inlineStr"/>
      <c r="W120" t="inlineStr"/>
      <c r="X120" t="inlineStr"/>
      <c r="Y120" t="inlineStr"/>
      <c r="Z120" t="inlineStr"/>
      <c r="AA120" t="inlineStr"/>
      <c r="AB120" t="inlineStr"/>
    </row>
    <row r="121">
      <c r="A121" s="5" t="inlineStr">
        <is>
          <t>2040</t>
        </is>
      </c>
      <c r="B121" s="5" t="inlineStr">
        <is>
          <t>x</t>
        </is>
      </c>
      <c r="C121" s="5" t="inlineStr"/>
      <c r="D121" t="inlineStr">
        <is>
          <t>eHub</t>
        </is>
      </c>
      <c r="E121" t="inlineStr"/>
      <c r="F121" s="5" t="inlineStr"/>
      <c r="G121" s="5" t="inlineStr">
        <is>
          <t>x</t>
        </is>
      </c>
      <c r="H121" s="5" t="inlineStr"/>
      <c r="I121" s="5" t="inlineStr"/>
      <c r="J121" s="5" t="inlineStr"/>
      <c r="K121" s="5" t="inlineStr"/>
      <c r="L121" t="inlineStr"/>
      <c r="M121" s="6">
        <f>IF(L121&lt;&gt;"",L121,_xlfn.TEXTJOIN(" · ",TRUE,IF(F121&lt;&gt;"","Fundador",""),IF(G121&lt;&gt;"","Anjo",""),IF(H121&lt;&gt;"","VC",""),IF(I121&lt;&gt;"","Gestão",""),IF(J121&lt;&gt;"","Conselho",""),IF(K121&lt;&gt;"","Buscapé","")))</f>
        <v/>
      </c>
      <c r="N121" t="inlineStr"/>
      <c r="O121" s="5" t="inlineStr">
        <is>
          <t>2004</t>
        </is>
      </c>
      <c r="P121" t="inlineStr">
        <is>
          <t>Encerrada</t>
        </is>
      </c>
      <c r="Q121" s="5" t="inlineStr"/>
      <c r="R121" s="5" t="inlineStr"/>
      <c r="S121" t="inlineStr"/>
      <c r="T121" t="inlineStr">
        <is>
          <t>https://www.crunchbase.com/organization/ehub</t>
        </is>
      </c>
      <c r="U121" t="inlineStr"/>
      <c r="V121" t="inlineStr"/>
      <c r="W121" t="inlineStr"/>
      <c r="X121" t="inlineStr"/>
      <c r="Y121" t="inlineStr"/>
      <c r="Z121" t="inlineStr"/>
      <c r="AA121" t="inlineStr"/>
      <c r="AB121" t="inlineStr"/>
    </row>
    <row r="122">
      <c r="A122" s="5" t="inlineStr">
        <is>
          <t>2060</t>
        </is>
      </c>
      <c r="B122" s="5" t="inlineStr">
        <is>
          <t>x</t>
        </is>
      </c>
      <c r="C122" s="5" t="inlineStr"/>
      <c r="D122" t="inlineStr">
        <is>
          <t>HospedeVIP</t>
        </is>
      </c>
      <c r="E122" t="inlineStr"/>
      <c r="F122" s="5" t="inlineStr"/>
      <c r="G122" s="5" t="inlineStr">
        <is>
          <t>x</t>
        </is>
      </c>
      <c r="H122" s="5" t="inlineStr"/>
      <c r="I122" s="5" t="inlineStr"/>
      <c r="J122" s="5" t="inlineStr"/>
      <c r="K122" s="5" t="inlineStr"/>
      <c r="L122" t="inlineStr"/>
      <c r="M122" s="6">
        <f>IF(L122&lt;&gt;"",L122,_xlfn.TEXTJOIN(" · ",TRUE,IF(F122&lt;&gt;"","Fundador",""),IF(G122&lt;&gt;"","Anjo",""),IF(H122&lt;&gt;"","VC",""),IF(I122&lt;&gt;"","Gestão",""),IF(J122&lt;&gt;"","Conselho",""),IF(K122&lt;&gt;"","Buscapé","")))</f>
        <v/>
      </c>
      <c r="N122" t="inlineStr"/>
      <c r="O122" s="5" t="inlineStr"/>
      <c r="P122" t="inlineStr">
        <is>
          <t>Encerrada</t>
        </is>
      </c>
      <c r="Q122" s="5" t="inlineStr"/>
      <c r="R122" s="5" t="inlineStr"/>
      <c r="S122" t="inlineStr"/>
      <c r="T122" t="inlineStr"/>
      <c r="U122" t="inlineStr"/>
      <c r="V122" t="inlineStr"/>
      <c r="W122" t="inlineStr"/>
      <c r="X122" t="inlineStr"/>
      <c r="Y122" t="inlineStr"/>
      <c r="Z122" t="inlineStr"/>
      <c r="AA122" t="inlineStr"/>
      <c r="AB122" t="inlineStr"/>
    </row>
    <row r="123">
      <c r="A123" s="5" t="inlineStr">
        <is>
          <t>2070</t>
        </is>
      </c>
      <c r="B123" s="5" t="inlineStr">
        <is>
          <t>x</t>
        </is>
      </c>
      <c r="C123" s="5" t="inlineStr"/>
      <c r="D123" t="inlineStr">
        <is>
          <t>Jet8</t>
        </is>
      </c>
      <c r="E123" t="inlineStr"/>
      <c r="F123" s="5" t="inlineStr"/>
      <c r="G123" s="5" t="inlineStr">
        <is>
          <t>x</t>
        </is>
      </c>
      <c r="H123" s="5" t="inlineStr"/>
      <c r="I123" s="5" t="inlineStr"/>
      <c r="J123" s="5" t="inlineStr"/>
      <c r="K123" s="5" t="inlineStr"/>
      <c r="L123" t="inlineStr"/>
      <c r="M123" s="6">
        <f>IF(L123&lt;&gt;"",L123,_xlfn.TEXTJOIN(" · ",TRUE,IF(F123&lt;&gt;"","Fundador",""),IF(G123&lt;&gt;"","Anjo",""),IF(H123&lt;&gt;"","VC",""),IF(I123&lt;&gt;"","Gestão",""),IF(J123&lt;&gt;"","Conselho",""),IF(K123&lt;&gt;"","Buscapé","")))</f>
        <v/>
      </c>
      <c r="N123" t="inlineStr"/>
      <c r="O123" s="5" t="inlineStr"/>
      <c r="P123" t="inlineStr">
        <is>
          <t>Encerrada</t>
        </is>
      </c>
      <c r="Q123" s="5" t="inlineStr"/>
      <c r="R123" s="5" t="inlineStr"/>
      <c r="S123" t="inlineStr">
        <is>
          <t>https://jet8.io/</t>
        </is>
      </c>
      <c r="T123" t="inlineStr"/>
      <c r="U123" t="inlineStr">
        <is>
          <t>jet8-2026.png</t>
        </is>
      </c>
      <c r="V123" t="inlineStr"/>
      <c r="W123" t="inlineStr"/>
      <c r="X123" t="inlineStr"/>
      <c r="Y123" t="inlineStr"/>
      <c r="Z123" t="inlineStr"/>
      <c r="AA123" t="inlineStr"/>
      <c r="AB123" t="inlineStr"/>
    </row>
    <row r="124">
      <c r="A124" s="5" t="inlineStr">
        <is>
          <t>2080</t>
        </is>
      </c>
      <c r="B124" s="5" t="inlineStr">
        <is>
          <t>x</t>
        </is>
      </c>
      <c r="C124" s="5" t="inlineStr"/>
      <c r="D124" t="inlineStr">
        <is>
          <t>LOFTY / ROOMORAMA</t>
        </is>
      </c>
      <c r="E124" t="inlineStr"/>
      <c r="F124" s="5" t="inlineStr"/>
      <c r="G124" s="5" t="inlineStr">
        <is>
          <t>x</t>
        </is>
      </c>
      <c r="H124" s="5" t="inlineStr"/>
      <c r="I124" s="5" t="inlineStr"/>
      <c r="J124" s="5" t="inlineStr"/>
      <c r="K124" s="5" t="inlineStr"/>
      <c r="L124" t="inlineStr"/>
      <c r="M124" s="6">
        <f>IF(L124&lt;&gt;"",L124,_xlfn.TEXTJOIN(" · ",TRUE,IF(F124&lt;&gt;"","Fundador",""),IF(G124&lt;&gt;"","Anjo",""),IF(H124&lt;&gt;"","VC",""),IF(I124&lt;&gt;"","Gestão",""),IF(J124&lt;&gt;"","Conselho",""),IF(K124&lt;&gt;"","Buscapé","")))</f>
        <v/>
      </c>
      <c r="N124" t="inlineStr"/>
      <c r="O124" s="5" t="inlineStr"/>
      <c r="P124" t="inlineStr">
        <is>
          <t>Encerrada</t>
        </is>
      </c>
      <c r="Q124" s="5" t="inlineStr"/>
      <c r="R124" s="5" t="inlineStr"/>
      <c r="S124" t="inlineStr"/>
      <c r="T124" t="inlineStr">
        <is>
          <t>https://www.crunchbase.com/organization/roomorama; https://www.crunchbase.com/organization/lofty-ai</t>
        </is>
      </c>
      <c r="U124" t="inlineStr"/>
      <c r="V124" t="inlineStr"/>
      <c r="W124" t="inlineStr"/>
      <c r="X124" t="inlineStr"/>
      <c r="Y124" t="inlineStr"/>
      <c r="Z124" t="inlineStr"/>
      <c r="AA124" t="inlineStr"/>
      <c r="AB124" t="inlineStr">
        <is>
          <t>Site roomorama.com fora do ar (certificado inválido) em 28/09/2026; link tirado do card.</t>
        </is>
      </c>
    </row>
    <row r="125">
      <c r="A125" s="5" t="inlineStr">
        <is>
          <t>2090</t>
        </is>
      </c>
      <c r="B125" s="5" t="inlineStr">
        <is>
          <t>x</t>
        </is>
      </c>
      <c r="C125" s="5" t="inlineStr"/>
      <c r="D125" t="inlineStr">
        <is>
          <t>Lulu App</t>
        </is>
      </c>
      <c r="E125" t="inlineStr"/>
      <c r="F125" s="5" t="inlineStr"/>
      <c r="G125" s="5" t="inlineStr">
        <is>
          <t>x</t>
        </is>
      </c>
      <c r="H125" s="5" t="inlineStr"/>
      <c r="I125" s="5" t="inlineStr"/>
      <c r="J125" s="5" t="inlineStr"/>
      <c r="K125" s="5" t="inlineStr"/>
      <c r="L125" t="inlineStr"/>
      <c r="M125" s="6">
        <f>IF(L125&lt;&gt;"",L125,_xlfn.TEXTJOIN(" · ",TRUE,IF(F125&lt;&gt;"","Fundador",""),IF(G125&lt;&gt;"","Anjo",""),IF(H125&lt;&gt;"","VC",""),IF(I125&lt;&gt;"","Gestão",""),IF(J125&lt;&gt;"","Conselho",""),IF(K125&lt;&gt;"","Buscapé","")))</f>
        <v/>
      </c>
      <c r="N125" t="inlineStr"/>
      <c r="O125" s="5" t="inlineStr"/>
      <c r="P125" t="inlineStr">
        <is>
          <t>Encerrada</t>
        </is>
      </c>
      <c r="Q125" s="5" t="inlineStr"/>
      <c r="R125" s="5" t="inlineStr"/>
      <c r="S125" t="inlineStr"/>
      <c r="T125" t="inlineStr">
        <is>
          <t>https://www.crunchbase.com/organization/lulu-2</t>
        </is>
      </c>
      <c r="U125" t="inlineStr">
        <is>
          <t>lulu-app.png</t>
        </is>
      </c>
      <c r="V125" t="inlineStr"/>
      <c r="W125" t="inlineStr"/>
      <c r="X125" t="inlineStr"/>
      <c r="Y125" t="inlineStr"/>
      <c r="Z125" t="inlineStr"/>
      <c r="AA125" t="inlineStr"/>
      <c r="AB125" t="inlineStr"/>
    </row>
    <row r="126">
      <c r="A126" s="5" t="inlineStr">
        <is>
          <t>2100</t>
        </is>
      </c>
      <c r="B126" s="5" t="inlineStr">
        <is>
          <t>x</t>
        </is>
      </c>
      <c r="C126" s="5" t="inlineStr"/>
      <c r="D126" t="inlineStr">
        <is>
          <t>Moneto / ContaPaga</t>
        </is>
      </c>
      <c r="E126" t="inlineStr"/>
      <c r="F126" s="5" t="inlineStr"/>
      <c r="G126" s="5" t="inlineStr">
        <is>
          <t>x</t>
        </is>
      </c>
      <c r="H126" s="5" t="inlineStr"/>
      <c r="I126" s="5" t="inlineStr"/>
      <c r="J126" s="5" t="inlineStr"/>
      <c r="K126" s="5" t="inlineStr"/>
      <c r="L126" t="inlineStr"/>
      <c r="M126" s="6">
        <f>IF(L126&lt;&gt;"",L126,_xlfn.TEXTJOIN(" · ",TRUE,IF(F126&lt;&gt;"","Fundador",""),IF(G126&lt;&gt;"","Anjo",""),IF(H126&lt;&gt;"","VC",""),IF(I126&lt;&gt;"","Gestão",""),IF(J126&lt;&gt;"","Conselho",""),IF(K126&lt;&gt;"","Buscapé","")))</f>
        <v/>
      </c>
      <c r="N126" t="inlineStr"/>
      <c r="O126" s="5" t="inlineStr"/>
      <c r="P126" t="inlineStr">
        <is>
          <t>Encerrada</t>
        </is>
      </c>
      <c r="Q126" s="5" t="inlineStr"/>
      <c r="R126" s="5" t="inlineStr"/>
      <c r="S126" t="inlineStr"/>
      <c r="T126" t="inlineStr">
        <is>
          <t>https://www.crunchbase.com/organization/contapaga</t>
        </is>
      </c>
      <c r="U126" t="inlineStr">
        <is>
          <t>moneto.png</t>
        </is>
      </c>
      <c r="V126" t="inlineStr"/>
      <c r="W126" t="inlineStr"/>
      <c r="X126" t="inlineStr"/>
      <c r="Y126" t="inlineStr"/>
      <c r="Z126" t="inlineStr"/>
      <c r="AA126" t="inlineStr"/>
      <c r="AB126" t="inlineStr">
        <is>
          <t>ContaPaga mudou de nome para Moneto; cards unificados em 29/09/2026.</t>
        </is>
      </c>
    </row>
    <row r="127">
      <c r="A127" s="5" t="inlineStr">
        <is>
          <t>2110</t>
        </is>
      </c>
      <c r="B127" s="5" t="inlineStr">
        <is>
          <t>x</t>
        </is>
      </c>
      <c r="C127" s="5" t="inlineStr"/>
      <c r="D127" t="inlineStr">
        <is>
          <t>OrderIn</t>
        </is>
      </c>
      <c r="E127" t="inlineStr"/>
      <c r="F127" s="5" t="inlineStr"/>
      <c r="G127" s="5" t="inlineStr">
        <is>
          <t>x</t>
        </is>
      </c>
      <c r="H127" s="5" t="inlineStr"/>
      <c r="I127" s="5" t="inlineStr"/>
      <c r="J127" s="5" t="inlineStr"/>
      <c r="K127" s="5" t="inlineStr"/>
      <c r="L127" t="inlineStr"/>
      <c r="M127" s="6">
        <f>IF(L127&lt;&gt;"",L127,_xlfn.TEXTJOIN(" · ",TRUE,IF(F127&lt;&gt;"","Fundador",""),IF(G127&lt;&gt;"","Anjo",""),IF(H127&lt;&gt;"","VC",""),IF(I127&lt;&gt;"","Gestão",""),IF(J127&lt;&gt;"","Conselho",""),IF(K127&lt;&gt;"","Buscapé","")))</f>
        <v/>
      </c>
      <c r="N127" t="inlineStr"/>
      <c r="O127" s="5" t="inlineStr"/>
      <c r="P127" t="inlineStr">
        <is>
          <t>Encerrada</t>
        </is>
      </c>
      <c r="Q127" s="5" t="inlineStr"/>
      <c r="R127" s="5" t="inlineStr"/>
      <c r="S127" t="inlineStr"/>
      <c r="T127" t="inlineStr">
        <is>
          <t>https://www.crunchbase.com/organization/orderin</t>
        </is>
      </c>
      <c r="U127" t="inlineStr">
        <is>
          <t>orderin-2026.png</t>
        </is>
      </c>
      <c r="V127" t="inlineStr"/>
      <c r="W127" t="inlineStr"/>
      <c r="X127" t="inlineStr"/>
      <c r="Y127" t="inlineStr"/>
      <c r="Z127" t="inlineStr"/>
      <c r="AA127" t="inlineStr"/>
      <c r="AB127" t="inlineStr"/>
    </row>
    <row r="128">
      <c r="A128" s="5" t="inlineStr">
        <is>
          <t>2120</t>
        </is>
      </c>
      <c r="B128" s="5" t="inlineStr">
        <is>
          <t>x</t>
        </is>
      </c>
      <c r="C128" s="5" t="inlineStr"/>
      <c r="D128" t="inlineStr">
        <is>
          <t>Scup</t>
        </is>
      </c>
      <c r="E128" t="inlineStr"/>
      <c r="F128" s="5" t="inlineStr"/>
      <c r="G128" s="5" t="inlineStr">
        <is>
          <t>x</t>
        </is>
      </c>
      <c r="H128" s="5" t="inlineStr"/>
      <c r="I128" s="5" t="inlineStr"/>
      <c r="J128" s="5" t="inlineStr"/>
      <c r="K128" s="5" t="inlineStr"/>
      <c r="L128" t="inlineStr"/>
      <c r="M128" s="6">
        <f>IF(L128&lt;&gt;"",L128,_xlfn.TEXTJOIN(" · ",TRUE,IF(F128&lt;&gt;"","Fundador",""),IF(G128&lt;&gt;"","Anjo",""),IF(H128&lt;&gt;"","VC",""),IF(I128&lt;&gt;"","Gestão",""),IF(J128&lt;&gt;"","Conselho",""),IF(K128&lt;&gt;"","Buscapé","")))</f>
        <v/>
      </c>
      <c r="N128" t="inlineStr">
        <is>
          <t>Vendida à Sprinkr</t>
        </is>
      </c>
      <c r="O128" s="5" t="inlineStr"/>
      <c r="P128" t="inlineStr">
        <is>
          <t>Saída · 2015</t>
        </is>
      </c>
      <c r="Q128" s="5" t="inlineStr">
        <is>
          <t>x</t>
        </is>
      </c>
      <c r="R128" s="5" t="inlineStr"/>
      <c r="S128" t="inlineStr"/>
      <c r="T128" t="inlineStr">
        <is>
          <t>https://www.crunchbase.com/organization/scup</t>
        </is>
      </c>
      <c r="U128" t="inlineStr">
        <is>
          <t>scup-2026.png</t>
        </is>
      </c>
      <c r="V128" t="inlineStr"/>
      <c r="W128" t="inlineStr"/>
      <c r="X128" t="inlineStr"/>
      <c r="Y128" t="inlineStr"/>
      <c r="Z128" t="inlineStr"/>
      <c r="AA128" t="inlineStr"/>
      <c r="AB128" t="inlineStr"/>
    </row>
    <row r="129">
      <c r="A129" s="5" t="inlineStr">
        <is>
          <t>2130</t>
        </is>
      </c>
      <c r="B129" s="5" t="inlineStr">
        <is>
          <t>x</t>
        </is>
      </c>
      <c r="C129" s="5" t="inlineStr"/>
      <c r="D129" t="inlineStr">
        <is>
          <t>Shoes4you</t>
        </is>
      </c>
      <c r="E129" t="inlineStr"/>
      <c r="F129" s="5" t="inlineStr"/>
      <c r="G129" s="5" t="inlineStr">
        <is>
          <t>x</t>
        </is>
      </c>
      <c r="H129" s="5" t="inlineStr"/>
      <c r="I129" s="5" t="inlineStr"/>
      <c r="J129" s="5" t="inlineStr"/>
      <c r="K129" s="5" t="inlineStr"/>
      <c r="L129" t="inlineStr"/>
      <c r="M129" s="6">
        <f>IF(L129&lt;&gt;"",L129,_xlfn.TEXTJOIN(" · ",TRUE,IF(F129&lt;&gt;"","Fundador",""),IF(G129&lt;&gt;"","Anjo",""),IF(H129&lt;&gt;"","VC",""),IF(I129&lt;&gt;"","Gestão",""),IF(J129&lt;&gt;"","Conselho",""),IF(K129&lt;&gt;"","Buscapé","")))</f>
        <v/>
      </c>
      <c r="N129" t="inlineStr"/>
      <c r="O129" s="5" t="inlineStr"/>
      <c r="P129" t="inlineStr">
        <is>
          <t>Encerrada</t>
        </is>
      </c>
      <c r="Q129" s="5" t="inlineStr"/>
      <c r="R129" s="5" t="inlineStr"/>
      <c r="S129" t="inlineStr">
        <is>
          <t>https://shoes4you.com.br/</t>
        </is>
      </c>
      <c r="T129" t="inlineStr">
        <is>
          <t>https://www.crunchbase.com/organization/shoes4you</t>
        </is>
      </c>
      <c r="U129" t="inlineStr">
        <is>
          <t>shoes4you.png</t>
        </is>
      </c>
      <c r="V129" t="inlineStr"/>
      <c r="W129" t="inlineStr"/>
      <c r="X129" t="inlineStr"/>
      <c r="Y129" t="inlineStr"/>
      <c r="Z129" t="inlineStr"/>
      <c r="AA129" t="inlineStr"/>
      <c r="AB129" t="inlineStr"/>
    </row>
    <row r="130">
      <c r="A130" s="5" t="inlineStr">
        <is>
          <t>2140</t>
        </is>
      </c>
      <c r="B130" s="5" t="inlineStr">
        <is>
          <t>x</t>
        </is>
      </c>
      <c r="C130" s="5" t="inlineStr"/>
      <c r="D130" t="inlineStr">
        <is>
          <t>Siga Seu Time</t>
        </is>
      </c>
      <c r="E130" t="inlineStr"/>
      <c r="F130" s="5" t="inlineStr"/>
      <c r="G130" s="5" t="inlineStr">
        <is>
          <t>x</t>
        </is>
      </c>
      <c r="H130" s="5" t="inlineStr"/>
      <c r="I130" s="5" t="inlineStr"/>
      <c r="J130" s="5" t="inlineStr"/>
      <c r="K130" s="5" t="inlineStr"/>
      <c r="L130" t="inlineStr"/>
      <c r="M130" s="6">
        <f>IF(L130&lt;&gt;"",L130,_xlfn.TEXTJOIN(" · ",TRUE,IF(F130&lt;&gt;"","Fundador",""),IF(G130&lt;&gt;"","Anjo",""),IF(H130&lt;&gt;"","VC",""),IF(I130&lt;&gt;"","Gestão",""),IF(J130&lt;&gt;"","Conselho",""),IF(K130&lt;&gt;"","Buscapé","")))</f>
        <v/>
      </c>
      <c r="N130" t="inlineStr"/>
      <c r="O130" s="5" t="inlineStr"/>
      <c r="P130" t="inlineStr">
        <is>
          <t>Encerrada</t>
        </is>
      </c>
      <c r="Q130" s="5" t="inlineStr"/>
      <c r="R130" s="5" t="inlineStr"/>
      <c r="S130" t="inlineStr"/>
      <c r="T130" t="inlineStr">
        <is>
          <t>https://www.crunchbase.com/organization/sigaseutime</t>
        </is>
      </c>
      <c r="U130" t="inlineStr"/>
      <c r="V130" t="inlineStr"/>
      <c r="W130" t="inlineStr"/>
      <c r="X130" t="inlineStr"/>
      <c r="Y130" t="inlineStr"/>
      <c r="Z130" t="inlineStr"/>
      <c r="AA130" t="inlineStr"/>
      <c r="AB130" t="inlineStr"/>
    </row>
    <row r="131">
      <c r="A131" s="5" t="inlineStr">
        <is>
          <t>2150</t>
        </is>
      </c>
      <c r="B131" s="5" t="inlineStr">
        <is>
          <t>x</t>
        </is>
      </c>
      <c r="C131" s="5" t="inlineStr"/>
      <c r="D131" t="inlineStr">
        <is>
          <t>youHotel</t>
        </is>
      </c>
      <c r="E131" t="inlineStr"/>
      <c r="F131" s="5" t="inlineStr"/>
      <c r="G131" s="5" t="inlineStr">
        <is>
          <t>x</t>
        </is>
      </c>
      <c r="H131" s="5" t="inlineStr"/>
      <c r="I131" s="5" t="inlineStr"/>
      <c r="J131" s="5" t="inlineStr"/>
      <c r="K131" s="5" t="inlineStr"/>
      <c r="L131" t="inlineStr"/>
      <c r="M131" s="6">
        <f>IF(L131&lt;&gt;"",L131,_xlfn.TEXTJOIN(" · ",TRUE,IF(F131&lt;&gt;"","Fundador",""),IF(G131&lt;&gt;"","Anjo",""),IF(H131&lt;&gt;"","VC",""),IF(I131&lt;&gt;"","Gestão",""),IF(J131&lt;&gt;"","Conselho",""),IF(K131&lt;&gt;"","Buscapé","")))</f>
        <v/>
      </c>
      <c r="N131" t="inlineStr"/>
      <c r="O131" s="5" t="inlineStr"/>
      <c r="P131" t="inlineStr">
        <is>
          <t>Encerrada</t>
        </is>
      </c>
      <c r="Q131" s="5" t="inlineStr"/>
      <c r="R131" s="5" t="inlineStr"/>
      <c r="S131" t="inlineStr"/>
      <c r="T131" t="inlineStr">
        <is>
          <t>https://www.crunchbase.com/organization/youhotel</t>
        </is>
      </c>
      <c r="U131" t="inlineStr">
        <is>
          <t>youhotel.png</t>
        </is>
      </c>
      <c r="V131" t="inlineStr"/>
      <c r="W131" t="inlineStr"/>
      <c r="X131" t="inlineStr"/>
      <c r="Y131" t="inlineStr"/>
      <c r="Z131" t="inlineStr"/>
      <c r="AA131" t="inlineStr"/>
      <c r="AB131" t="inlineStr"/>
    </row>
  </sheetData>
  <autoFilter ref="A1:AB131"/>
  <dataValidations count="2">
    <dataValidation sqref="B2:B2000 F2:F2000 G2:G2000 H2:H2000 I2:I2000 J2:J2000 K2:K2000 Q2:Q2000 R2:R2000" showDropDown="0" showInputMessage="0" showErrorMessage="0" allowBlank="1" errorTitle="Valor inválido" error="Use x para marcar ou deixe vazio." type="list">
      <formula1>"x"</formula1>
    </dataValidation>
    <dataValidation sqref="P2:P2000" showDropDown="0" showInputMessage="0" showErrorMessage="0" allowBlank="1" type="list">
      <formula1>=Listas!$A$2:$A$7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</cols>
  <sheetData>
    <row r="1">
      <c r="A1" t="inlineStr">
        <is>
          <t>Status sugeridos</t>
        </is>
      </c>
    </row>
    <row r="2">
      <c r="A2" t="inlineStr">
        <is>
          <t>Ativa</t>
        </is>
      </c>
    </row>
    <row r="3">
      <c r="A3" t="inlineStr">
        <is>
          <t>Saída</t>
        </is>
      </c>
    </row>
    <row r="4">
      <c r="A4" t="inlineStr">
        <is>
          <t>Encerrada</t>
        </is>
      </c>
    </row>
    <row r="5">
      <c r="A5" t="inlineStr">
        <is>
          <t>Adquirida</t>
        </is>
      </c>
    </row>
    <row r="6">
      <c r="A6" t="inlineStr">
        <is>
          <t>Listada na B3</t>
        </is>
      </c>
    </row>
    <row r="7">
      <c r="A7" t="inlineStr">
        <is>
          <t>Listada na NYSE</t>
        </is>
      </c>
    </row>
    <row r="9">
      <c r="A9" t="inlineStr">
        <is>
          <t>Relação</t>
        </is>
      </c>
      <c r="B9" t="inlineStr">
        <is>
          <t>Código no site</t>
        </is>
      </c>
      <c r="C9" t="inlineStr">
        <is>
          <t>Botão de filtro</t>
        </is>
      </c>
      <c r="D9" t="inlineStr">
        <is>
          <t>Rótulo automático</t>
        </is>
      </c>
    </row>
    <row r="10">
      <c r="A10" t="inlineStr">
        <is>
          <t>Fundação</t>
        </is>
      </c>
      <c r="B10" t="inlineStr">
        <is>
          <t>fund</t>
        </is>
      </c>
      <c r="C10" t="inlineStr">
        <is>
          <t>Fundação</t>
        </is>
      </c>
      <c r="D10" t="inlineStr">
        <is>
          <t>Fundador</t>
        </is>
      </c>
    </row>
    <row r="11">
      <c r="A11" t="inlineStr">
        <is>
          <t>Anjo</t>
        </is>
      </c>
      <c r="B11" t="inlineStr">
        <is>
          <t>anjo</t>
        </is>
      </c>
      <c r="C11" t="inlineStr">
        <is>
          <t>Anjo</t>
        </is>
      </c>
      <c r="D11" t="inlineStr">
        <is>
          <t>Anjo</t>
        </is>
      </c>
    </row>
    <row r="12">
      <c r="A12" t="inlineStr">
        <is>
          <t>VC</t>
        </is>
      </c>
      <c r="B12" t="inlineStr">
        <is>
          <t>vc</t>
        </is>
      </c>
      <c r="C12" t="inlineStr">
        <is>
          <t>Venture capital</t>
        </is>
      </c>
      <c r="D12" t="inlineStr">
        <is>
          <t>VC</t>
        </is>
      </c>
    </row>
    <row r="13">
      <c r="A13" t="inlineStr">
        <is>
          <t>Gestão</t>
        </is>
      </c>
      <c r="B13" t="inlineStr">
        <is>
          <t>gestao</t>
        </is>
      </c>
      <c r="C13" t="inlineStr">
        <is>
          <t>Gestão</t>
        </is>
      </c>
      <c r="D13" t="inlineStr">
        <is>
          <t>Gestão</t>
        </is>
      </c>
    </row>
    <row r="14">
      <c r="A14" t="inlineStr">
        <is>
          <t>Conselho</t>
        </is>
      </c>
      <c r="B14" t="inlineStr">
        <is>
          <t>conselho</t>
        </is>
      </c>
      <c r="C14" t="inlineStr">
        <is>
          <t>Conselhos</t>
        </is>
      </c>
      <c r="D14" t="inlineStr">
        <is>
          <t>Conselho</t>
        </is>
      </c>
    </row>
    <row r="15">
      <c r="A15" t="inlineStr">
        <is>
          <t>Buscapé</t>
        </is>
      </c>
      <c r="B15" t="inlineStr">
        <is>
          <t>corp</t>
        </is>
      </c>
      <c r="C15" t="inlineStr">
        <is>
          <t>Buscapé</t>
        </is>
      </c>
      <c r="D15" t="inlineStr">
        <is>
          <t>Buscapé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2026-09-29T13:29:23Z</dcterms:created>
  <dcterms:modified xmlns:dcterms="http://purl.org/dc/terms/" xmlns:xsi="http://www.w3.org/2001/XMLSchema-instance" xsi:type="dcterms:W3CDTF">2026-09-29T13:29:23Z</dcterms:modified>
</cp:coreProperties>
</file>