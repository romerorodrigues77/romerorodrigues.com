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romerorodrigues/Documents/GitHub/romerorodrigues.com/data/"/>
    </mc:Choice>
  </mc:AlternateContent>
  <xr:revisionPtr revIDLastSave="0" documentId="13_ncr:1_{875EF6B2-5558-9C4E-A0FB-F9904F573B4E}" xr6:coauthVersionLast="47" xr6:coauthVersionMax="47" xr10:uidLastSave="{00000000-0000-0000-0000-000000000000}"/>
  <bookViews>
    <workbookView xWindow="0" yWindow="760" windowWidth="30240" windowHeight="17900" activeTab="1" xr2:uid="{00000000-000D-0000-FFFF-FFFF00000000}"/>
  </bookViews>
  <sheets>
    <sheet name="Como usar" sheetId="1" r:id="rId1"/>
    <sheet name="Empresas" sheetId="2" r:id="rId2"/>
    <sheet name="Listas" sheetId="3" r:id="rId3"/>
  </sheets>
  <definedNames>
    <definedName name="_xlnm._FilterDatabase" localSheetId="1" hidden="1">Empresas!$A$1:$Y$127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7" i="2" l="1"/>
  <c r="M14" i="2"/>
  <c r="M99" i="2"/>
  <c r="M20" i="2"/>
  <c r="M126" i="2"/>
  <c r="M125" i="2"/>
  <c r="M98" i="2"/>
  <c r="M124" i="2"/>
  <c r="M97" i="2"/>
  <c r="M17" i="2"/>
  <c r="M96" i="2"/>
  <c r="M95" i="2"/>
  <c r="M94" i="2"/>
  <c r="M123" i="2"/>
  <c r="M122" i="2"/>
  <c r="M32" i="2"/>
  <c r="M121" i="2"/>
  <c r="M93" i="2"/>
  <c r="M120" i="2"/>
  <c r="M119" i="2"/>
  <c r="M92" i="2"/>
  <c r="M91" i="2"/>
  <c r="M118" i="2"/>
  <c r="M90" i="2"/>
  <c r="M89" i="2"/>
  <c r="M88" i="2"/>
  <c r="M117" i="2"/>
  <c r="M87" i="2"/>
  <c r="M86" i="2"/>
  <c r="M85" i="2"/>
  <c r="M84" i="2"/>
  <c r="M112" i="2"/>
  <c r="M83" i="2"/>
  <c r="M116" i="2"/>
  <c r="M82" i="2"/>
  <c r="M115" i="2"/>
  <c r="M114" i="2"/>
  <c r="M81" i="2"/>
  <c r="M80" i="2"/>
  <c r="M79" i="2"/>
  <c r="M78" i="2"/>
  <c r="M77" i="2"/>
  <c r="M76" i="2"/>
  <c r="M75" i="2"/>
  <c r="M74" i="2"/>
  <c r="M73" i="2"/>
  <c r="M72" i="2"/>
  <c r="M71" i="2"/>
  <c r="M15" i="2"/>
  <c r="M70" i="2"/>
  <c r="M69" i="2"/>
  <c r="M68" i="2"/>
  <c r="M67" i="2"/>
  <c r="M66" i="2"/>
  <c r="M65" i="2"/>
  <c r="M64" i="2"/>
  <c r="M63" i="2"/>
  <c r="M62" i="2"/>
  <c r="M61" i="2"/>
  <c r="M60" i="2"/>
  <c r="M111" i="2"/>
  <c r="M110" i="2"/>
  <c r="M109" i="2"/>
  <c r="M108" i="2"/>
  <c r="M107" i="2"/>
  <c r="M106" i="2"/>
  <c r="M105" i="2"/>
  <c r="M59" i="2"/>
  <c r="M18" i="2"/>
  <c r="M104" i="2"/>
  <c r="M58" i="2"/>
  <c r="M103" i="2"/>
  <c r="M102" i="2"/>
  <c r="M101" i="2"/>
  <c r="M100" i="2"/>
  <c r="M113" i="2"/>
  <c r="M57" i="2"/>
  <c r="M56" i="2"/>
  <c r="M55" i="2"/>
  <c r="M54" i="2"/>
  <c r="M53" i="2"/>
  <c r="M28" i="2"/>
  <c r="M52" i="2"/>
  <c r="M21" i="2"/>
  <c r="M31" i="2"/>
  <c r="M30" i="2"/>
  <c r="M51" i="2"/>
  <c r="M8" i="2"/>
  <c r="M24" i="2"/>
  <c r="M50" i="2"/>
  <c r="M49" i="2"/>
  <c r="M48" i="2"/>
  <c r="M47" i="2"/>
  <c r="M46" i="2"/>
  <c r="M45" i="2"/>
  <c r="M44" i="2"/>
  <c r="M43" i="2"/>
  <c r="M33" i="2"/>
  <c r="M42" i="2"/>
  <c r="M41" i="2"/>
  <c r="M40" i="2"/>
  <c r="M22" i="2"/>
  <c r="M29" i="2"/>
  <c r="M39" i="2"/>
  <c r="M27" i="2"/>
  <c r="M26" i="2"/>
  <c r="M38" i="2"/>
  <c r="M37" i="2"/>
  <c r="M36" i="2"/>
  <c r="M35" i="2"/>
  <c r="M34" i="2"/>
  <c r="M25" i="2"/>
  <c r="M23" i="2"/>
  <c r="M12" i="2"/>
  <c r="M9" i="2"/>
  <c r="M19" i="2"/>
  <c r="M10" i="2"/>
  <c r="M16" i="2"/>
  <c r="M13" i="2"/>
  <c r="M11" i="2"/>
  <c r="M7" i="2"/>
  <c r="M6" i="2"/>
  <c r="M4" i="2"/>
  <c r="M5" i="2"/>
  <c r="M3" i="2"/>
  <c r="M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portfolio.py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Ordem no site: menor aparece primeiro. Use saltos de 10 para poder encaixar empresas no meio.</t>
        </r>
      </text>
    </comment>
    <comment ref="B1" authorId="0" shapeId="0" xr:uid="{00000000-0006-0000-0100-000002000000}">
      <text>
        <r>
          <rPr>
            <sz val="11"/>
            <color rgb="FF000000"/>
            <rFont val="Calibri"/>
            <family val="2"/>
          </rPr>
          <t>x = aparece no site. Vazio = fica só na planilha.</t>
        </r>
      </text>
    </comment>
    <comment ref="C1" authorId="0" shapeId="0" xr:uid="{00000000-0006-0000-0100-000003000000}">
      <text>
        <r>
          <rPr>
            <sz val="11"/>
            <color rgb="FF000000"/>
            <rFont val="Calibri"/>
            <family val="2"/>
          </rPr>
          <t>Número = aparece no carrossel da home, nessa ordem. Vazio = não aparece. Precisa de logo e site.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Nome usado na busca e no texto alternativo do logo.</t>
        </r>
      </text>
    </comment>
    <comment ref="E1" authorId="0" shapeId="0" xr:uid="{00000000-0006-0000-0100-000005000000}">
      <text>
        <r>
          <rPr>
            <sz val="11"/>
            <color rgb="FF000000"/>
            <rFont val="Calibri"/>
            <family val="2"/>
          </rPr>
          <t>Opcional. Vazio = igual ao Nome.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x = relação 'Fundação'. Pode marcar várias.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x = relação 'Anjo'. Pode marcar várias.</t>
        </r>
      </text>
    </comment>
    <comment ref="H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x = relação 'VC'. Pode marcar várias.</t>
        </r>
      </text>
    </comment>
    <comment ref="I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x = relação 'Gestão'. Pode marcar várias.</t>
        </r>
      </text>
    </comment>
    <comment ref="J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x = relação 'Conselho'. Pode marcar várias.</t>
        </r>
      </text>
    </comment>
    <comment ref="K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x = relação 'Buscapé'. Pode marcar várias.</t>
        </r>
      </text>
    </comment>
    <comment ref="L1" authorId="0" shapeId="0" xr:uid="{00000000-0006-0000-0100-00000C000000}">
      <text>
        <r>
          <rPr>
            <sz val="11"/>
            <color rgb="FF000000"/>
            <rFont val="Calibri"/>
            <family val="2"/>
          </rPr>
          <t>Texto da relação no card. Vazio = gerado das colunas marcadas (ex.: 'Anjo · Conselho').</t>
        </r>
      </text>
    </comment>
    <comment ref="M1" authorId="0" shapeId="0" xr:uid="{00000000-0006-0000-0100-00000D000000}">
      <text>
        <r>
          <rPr>
            <sz val="11"/>
            <color rgb="FF000000"/>
            <rFont val="Calibri"/>
            <family val="2"/>
          </rPr>
          <t>Calculado. Só para conferência; o script ignora esta coluna.</t>
        </r>
      </text>
    </comment>
    <comment ref="N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Segunda linha do card, ex.: 'Vendida à Visa'.</t>
        </r>
      </text>
    </comment>
    <comment ref="O1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Ano do início da relação.</t>
        </r>
      </text>
    </comment>
    <comment ref="P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Texto no canto do card: Ativa, Saída, Encerrada, Adquirida · 2021, Listada na B3, US$ 1 bi · 2024...</t>
        </r>
      </text>
    </comment>
    <comment ref="Q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URL do site. Vazio = card sem link.</t>
        </r>
      </text>
    </comment>
    <comment ref="R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Arquivo em assets/img/. Vazio = mostra o nome em texto.</t>
        </r>
      </text>
    </comment>
    <comment ref="S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Opcional. Segundo logo empilhado (ex.: Movile + iFood).</t>
        </r>
      </text>
    </comment>
    <comment ref="T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Opcional. Texto mostrado antes do logo (ex.: Bcash). Sem logo, o nome já aparece em texto.</t>
        </r>
      </text>
    </comment>
    <comment ref="U1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Opcional. Textos alternativos separados por ';', na ordem dos logos. Vazio = Nome.</t>
        </r>
      </text>
    </comment>
    <comment ref="V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Link de uma matéria sobre a empresa.</t>
        </r>
      </text>
    </comment>
    <comment ref="W1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Título exibido no card.</t>
        </r>
      </text>
    </comment>
    <comment ref="X1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Ex.: 'Brazil Journal · jul 2021'.</t>
        </r>
      </text>
    </comment>
    <comment ref="Y1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Não vai para o site.</t>
        </r>
      </text>
    </comment>
  </commentList>
</comments>
</file>

<file path=xl/sharedStrings.xml><?xml version="1.0" encoding="utf-8"?>
<sst xmlns="http://schemas.openxmlformats.org/spreadsheetml/2006/main" count="695" uniqueCount="372">
  <si>
    <t>Prioridade</t>
  </si>
  <si>
    <t>Publicar</t>
  </si>
  <si>
    <t>Home</t>
  </si>
  <si>
    <t>Nome</t>
  </si>
  <si>
    <t>Nome no card</t>
  </si>
  <si>
    <t>Fundação</t>
  </si>
  <si>
    <t>Anjo</t>
  </si>
  <si>
    <t>VC</t>
  </si>
  <si>
    <t>Gestão</t>
  </si>
  <si>
    <t>Conselho</t>
  </si>
  <si>
    <t>Buscapé</t>
  </si>
  <si>
    <t>Rótulo (opcional)</t>
  </si>
  <si>
    <t>Rótulo no site</t>
  </si>
  <si>
    <t>Nota</t>
  </si>
  <si>
    <t>Ano</t>
  </si>
  <si>
    <t>Status</t>
  </si>
  <si>
    <t>Site</t>
  </si>
  <si>
    <t>Logo</t>
  </si>
  <si>
    <t>Logo 2</t>
  </si>
  <si>
    <t>Logo em texto</t>
  </si>
  <si>
    <t>Alt dos logos</t>
  </si>
  <si>
    <t>Matéria (link)</t>
  </si>
  <si>
    <t>Matéria (título)</t>
  </si>
  <si>
    <t>Matéria (fonte · data)</t>
  </si>
  <si>
    <t>Observações internas</t>
  </si>
  <si>
    <t>x</t>
  </si>
  <si>
    <t>Fundador e CEO · Pres. do conselho</t>
  </si>
  <si>
    <t>Vendida à Naspers/Prosus</t>
  </si>
  <si>
    <t>US$ 374M · 2009</t>
  </si>
  <si>
    <t>https://www.buscape.com.br</t>
  </si>
  <si>
    <t>6425515db5.png</t>
  </si>
  <si>
    <t>Pismo</t>
  </si>
  <si>
    <t>Vendida à Visa</t>
  </si>
  <si>
    <t>US$ 1 bi · 2024</t>
  </si>
  <si>
    <t>https://www.pismo.io/</t>
  </si>
  <si>
    <t>7b32850226.png</t>
  </si>
  <si>
    <t>Wayfair</t>
  </si>
  <si>
    <t>Listada na NYSE</t>
  </si>
  <si>
    <t>https://www.wayfair.com</t>
  </si>
  <si>
    <t>7006159f38.png</t>
  </si>
  <si>
    <t>Wellhub</t>
  </si>
  <si>
    <t>https://wellhub.com/pt-br/</t>
  </si>
  <si>
    <t>713b217bd1.png</t>
  </si>
  <si>
    <t>Olist</t>
  </si>
  <si>
    <t>Ativa</t>
  </si>
  <si>
    <t>https://olist.com</t>
  </si>
  <si>
    <t>05513689a9.png</t>
  </si>
  <si>
    <t>Hotmart</t>
  </si>
  <si>
    <t>https://hotmart.com/en</t>
  </si>
  <si>
    <t>0091b93521.png</t>
  </si>
  <si>
    <t>VTEX</t>
  </si>
  <si>
    <t>https://www.vtex.com/en-us</t>
  </si>
  <si>
    <t>963036fff1.png</t>
  </si>
  <si>
    <t>Rappi</t>
  </si>
  <si>
    <t>https://www.rappi.com.br</t>
  </si>
  <si>
    <t>996b11623c.png</t>
  </si>
  <si>
    <t>Ascenty</t>
  </si>
  <si>
    <t>f0e2b4b7e5.png</t>
  </si>
  <si>
    <t>TOTVS</t>
  </si>
  <si>
    <t>Listada na B3</t>
  </si>
  <si>
    <t>https://www.totvs.com</t>
  </si>
  <si>
    <t>67d3e7019f.png</t>
  </si>
  <si>
    <t>NeoGrid</t>
  </si>
  <si>
    <t>https://neogrid.com</t>
  </si>
  <si>
    <t>d24a5faea5.png</t>
  </si>
  <si>
    <t>Endeavor Brasil</t>
  </si>
  <si>
    <t>https://brasil.endeavor.org/</t>
  </si>
  <si>
    <t>b3001c0150.png</t>
  </si>
  <si>
    <t>Movile</t>
  </si>
  <si>
    <t>Movile · iFood</t>
  </si>
  <si>
    <t>63f15d3a90.png</t>
  </si>
  <si>
    <t>526f10b82c.png</t>
  </si>
  <si>
    <t>Movile; iFood</t>
  </si>
  <si>
    <t>Avenia</t>
  </si>
  <si>
    <t>https://avenia.io</t>
  </si>
  <si>
    <t>593662bf50.png</t>
  </si>
  <si>
    <t>Hero Seguros</t>
  </si>
  <si>
    <t>https://heroseguros.com.br/</t>
  </si>
  <si>
    <t>1abdf56dac.png</t>
  </si>
  <si>
    <t>Revert</t>
  </si>
  <si>
    <t>20049a1c94.png</t>
  </si>
  <si>
    <t>Alia.do</t>
  </si>
  <si>
    <t>https://alia.do</t>
  </si>
  <si>
    <t>b6f4b92125.png</t>
  </si>
  <si>
    <t>Celero</t>
  </si>
  <si>
    <t>https://celero.com.br</t>
  </si>
  <si>
    <t>1eeb112b43.png</t>
  </si>
  <si>
    <t>Doc9</t>
  </si>
  <si>
    <t>https://doc9.com.br/</t>
  </si>
  <si>
    <t>97f1418353.png</t>
  </si>
  <si>
    <t>Jumpad</t>
  </si>
  <si>
    <t>https://jumpad.ai/</t>
  </si>
  <si>
    <t>3fe9022228.png</t>
  </si>
  <si>
    <t>Mercado de Recebíveis</t>
  </si>
  <si>
    <t>https://mercadoderecebiveis.com.br/</t>
  </si>
  <si>
    <t>0d095c967b.png</t>
  </si>
  <si>
    <t>Neurogram</t>
  </si>
  <si>
    <t>8af8202e5e.png</t>
  </si>
  <si>
    <t>PipeImob</t>
  </si>
  <si>
    <t>https://pipeimob.com.br/</t>
  </si>
  <si>
    <t>2880f53836.png</t>
  </si>
  <si>
    <t>Vaas</t>
  </si>
  <si>
    <t>https://vaas.com.br/</t>
  </si>
  <si>
    <t>4bfe37b1ca.png</t>
  </si>
  <si>
    <t>Blips</t>
  </si>
  <si>
    <t>https://www.blips.com.br</t>
  </si>
  <si>
    <t>16b675b3ab.png</t>
  </si>
  <si>
    <t>Horuss</t>
  </si>
  <si>
    <t>https://www.horuss.ai/</t>
  </si>
  <si>
    <t>9f1c1b0735.png</t>
  </si>
  <si>
    <t>Turn2C</t>
  </si>
  <si>
    <t>https://turn2c.com</t>
  </si>
  <si>
    <t>adde0bf608.png</t>
  </si>
  <si>
    <t>Cycles</t>
  </si>
  <si>
    <t>aabc314b38.png</t>
  </si>
  <si>
    <t>Delfos</t>
  </si>
  <si>
    <t>https://www.delfos.energy/</t>
  </si>
  <si>
    <t>b88afc0b6a.png</t>
  </si>
  <si>
    <t>Fiibo</t>
  </si>
  <si>
    <t>https://fiibo.com.br</t>
  </si>
  <si>
    <t>7c2b6844ee.png</t>
  </si>
  <si>
    <t>Fin-X</t>
  </si>
  <si>
    <t>54076a9f5d.png</t>
  </si>
  <si>
    <t>Hubii</t>
  </si>
  <si>
    <t>https://hubii.com.br/</t>
  </si>
  <si>
    <t>544cfee6b8.png</t>
  </si>
  <si>
    <t>Mission Brasil</t>
  </si>
  <si>
    <t>https://missionbrasil.com.br/</t>
  </si>
  <si>
    <t>6890f6ec1b.png</t>
  </si>
  <si>
    <t>Trinus</t>
  </si>
  <si>
    <t>https://trinus.co</t>
  </si>
  <si>
    <t>2f0f5faa11.png</t>
  </si>
  <si>
    <t>Upik</t>
  </si>
  <si>
    <t>4718288ba8.png</t>
  </si>
  <si>
    <t>Smart Break</t>
  </si>
  <si>
    <t>2d210083e8.png</t>
  </si>
  <si>
    <t>XP Inc.</t>
  </si>
  <si>
    <t>Sócio e executivo</t>
  </si>
  <si>
    <t>ada4f0bb15.png</t>
  </si>
  <si>
    <t>CondoConta</t>
  </si>
  <si>
    <t>https://condoconta.com.br</t>
  </si>
  <si>
    <t>3e6bed0147.png</t>
  </si>
  <si>
    <t>Headline Brasil</t>
  </si>
  <si>
    <t>Sócio de gestora</t>
  </si>
  <si>
    <t>https://headline.com</t>
  </si>
  <si>
    <t>18cb582104.png</t>
  </si>
  <si>
    <t>Kzas</t>
  </si>
  <si>
    <t>Saída</t>
  </si>
  <si>
    <t>4d10fac6e0.png</t>
  </si>
  <si>
    <t>Tembici</t>
  </si>
  <si>
    <t>https://www.tembici.com.br/pt/</t>
  </si>
  <si>
    <t>2b7618efb4.png</t>
  </si>
  <si>
    <t>eureciclo</t>
  </si>
  <si>
    <t>https://eureciclo.com.br/</t>
  </si>
  <si>
    <t>9d2bf2cbac.png</t>
  </si>
  <si>
    <t>ABC da Construção</t>
  </si>
  <si>
    <t>https://www.abcdaconstrucao.com.br/</t>
  </si>
  <si>
    <t>348ad66045.png</t>
  </si>
  <si>
    <t>Antecipa</t>
  </si>
  <si>
    <t>https://antecipa.com/</t>
  </si>
  <si>
    <t>5563fbb64d.png</t>
  </si>
  <si>
    <t>Housi</t>
  </si>
  <si>
    <t>https://housi.com</t>
  </si>
  <si>
    <t>9136f294e9.png</t>
  </si>
  <si>
    <t>GigU</t>
  </si>
  <si>
    <t>https://site.stopclub.com.br/</t>
  </si>
  <si>
    <t>ac0ff90114.png</t>
  </si>
  <si>
    <t>Vittude</t>
  </si>
  <si>
    <t>https://vittude.com/</t>
  </si>
  <si>
    <t>48dc284e66.png</t>
  </si>
  <si>
    <t>Repassa</t>
  </si>
  <si>
    <t>Adquirida · 2021</t>
  </si>
  <si>
    <t>https://www.repassa.com.br</t>
  </si>
  <si>
    <t>fdaf35ff75.png</t>
  </si>
  <si>
    <t>https://braziljournal.com/renner-compra-repassa-e-entra-no-mercado-de-usados/</t>
  </si>
  <si>
    <t>Renner compra a Repassa</t>
  </si>
  <si>
    <t>Brazil Journal · jul 2021</t>
  </si>
  <si>
    <t>ABFintechs</t>
  </si>
  <si>
    <t>https://www.abfintechs.com.br/</t>
  </si>
  <si>
    <t>3bd9b9bc6d.png</t>
  </si>
  <si>
    <t>Consulta do Bem</t>
  </si>
  <si>
    <t>Encerrada</t>
  </si>
  <si>
    <t>096f0873fe.png</t>
  </si>
  <si>
    <t>Curupira</t>
  </si>
  <si>
    <t>Ceneo</t>
  </si>
  <si>
    <t>https://www.ceneo.pl/</t>
  </si>
  <si>
    <t>b5e21647e8.png</t>
  </si>
  <si>
    <t>Compari</t>
  </si>
  <si>
    <t>dd8c455ccc.png</t>
  </si>
  <si>
    <t>Drezzi</t>
  </si>
  <si>
    <t>Heureka</t>
  </si>
  <si>
    <t>9bbdd734d2.png</t>
  </si>
  <si>
    <t>In Loco</t>
  </si>
  <si>
    <t>https://www.incognia.com/</t>
  </si>
  <si>
    <t>9de7f1d8c8.png</t>
  </si>
  <si>
    <t>Misshobby</t>
  </si>
  <si>
    <t>https://www.misshobby.com/it</t>
  </si>
  <si>
    <t>f1157cd8d3.png</t>
  </si>
  <si>
    <t>Naspers / Prosus</t>
  </si>
  <si>
    <t>https://www.prosus.com</t>
  </si>
  <si>
    <t>530b76dd78.png</t>
  </si>
  <si>
    <t>PayU</t>
  </si>
  <si>
    <t>https://corporate.payu.com</t>
  </si>
  <si>
    <t>a21633992e.png</t>
  </si>
  <si>
    <t>Pazaruvaj</t>
  </si>
  <si>
    <t>118369684d.png</t>
  </si>
  <si>
    <t>PriceCheck</t>
  </si>
  <si>
    <t>ShoppyDoo</t>
  </si>
  <si>
    <t>https://www.shoppydoo.it/</t>
  </si>
  <si>
    <t>2ef87b6724.png</t>
  </si>
  <si>
    <t>Trovaprezzi</t>
  </si>
  <si>
    <t>05ba33d3e6.png</t>
  </si>
  <si>
    <t>Ucuzu</t>
  </si>
  <si>
    <t>Vcene</t>
  </si>
  <si>
    <t>Árukereső</t>
  </si>
  <si>
    <t>0dfa51baf7.png</t>
  </si>
  <si>
    <t>Btarget</t>
  </si>
  <si>
    <t>Cuponeria</t>
  </si>
  <si>
    <t>https://www.cuponeria.com.br</t>
  </si>
  <si>
    <t>320e04926e.png</t>
  </si>
  <si>
    <t>Redpoint e.ventures</t>
  </si>
  <si>
    <t>https://rpev.com.br/</t>
  </si>
  <si>
    <t>da50e23068.png</t>
  </si>
  <si>
    <t>Shopcliq</t>
  </si>
  <si>
    <t>1c8bca54ba.png</t>
  </si>
  <si>
    <t>Brandsclub</t>
  </si>
  <si>
    <t>12c335338a.png</t>
  </si>
  <si>
    <t>DineroMail</t>
  </si>
  <si>
    <t>7651fc3af4.png</t>
  </si>
  <si>
    <t>MeuCarrinho</t>
  </si>
  <si>
    <t>Moda It</t>
  </si>
  <si>
    <t>https://modait.com.br/</t>
  </si>
  <si>
    <t>385240fa1b.png</t>
  </si>
  <si>
    <t>Navegg</t>
  </si>
  <si>
    <t>https://www.navegg.com/br</t>
  </si>
  <si>
    <t>8f73ae2a32.png</t>
  </si>
  <si>
    <t>Recomind.net</t>
  </si>
  <si>
    <t>Urbanizo</t>
  </si>
  <si>
    <t>Jive</t>
  </si>
  <si>
    <t>https://jivemaua.com.br:443/</t>
  </si>
  <si>
    <t>f49b6eee17.png</t>
  </si>
  <si>
    <t>PagosOnline</t>
  </si>
  <si>
    <t>0fea4ac44e.png</t>
  </si>
  <si>
    <t>SaveMe</t>
  </si>
  <si>
    <t>d6454f271a.png</t>
  </si>
  <si>
    <t>eBehavior</t>
  </si>
  <si>
    <t>1e927e8b4c.png</t>
  </si>
  <si>
    <t>Lomadee</t>
  </si>
  <si>
    <t>15e4202322.png</t>
  </si>
  <si>
    <t>Bcash / Pagamento Digital</t>
  </si>
  <si>
    <t>Bcash</t>
  </si>
  <si>
    <t>f489bd4096.png</t>
  </si>
  <si>
    <t>Pagamento Digital</t>
  </si>
  <si>
    <t>FControl</t>
  </si>
  <si>
    <t>7d7def01a3.png</t>
  </si>
  <si>
    <t>E-bit</t>
  </si>
  <si>
    <t>3a3bf47353.png</t>
  </si>
  <si>
    <t>Bondfaro</t>
  </si>
  <si>
    <t>https://www.bondfaro.com.br/</t>
  </si>
  <si>
    <t>02c33a4b5c.png</t>
  </si>
  <si>
    <t>CortaContas</t>
  </si>
  <si>
    <t>10dad44d65.png</t>
  </si>
  <si>
    <t>QueBarato!</t>
  </si>
  <si>
    <t>https://www.quebarato.com.br/</t>
  </si>
  <si>
    <t>530a049ea4.png</t>
  </si>
  <si>
    <t>All in</t>
  </si>
  <si>
    <t>Holding</t>
  </si>
  <si>
    <t>CyberCook / Vila Mulher</t>
  </si>
  <si>
    <t>Loteria Brasil</t>
  </si>
  <si>
    <t>Mídia Digital / Mirum</t>
  </si>
  <si>
    <t>eHub</t>
  </si>
  <si>
    <t>i-Equities</t>
  </si>
  <si>
    <t>FocoSoft</t>
  </si>
  <si>
    <t>AWL Leads</t>
  </si>
  <si>
    <t>BovControl</t>
  </si>
  <si>
    <t>https://bovplatform.com/about</t>
  </si>
  <si>
    <t>a1dc086833.png</t>
  </si>
  <si>
    <t>Canal da Peça</t>
  </si>
  <si>
    <t>https://www.canaldapeca.com.br/</t>
  </si>
  <si>
    <t>6b67c13db1.png</t>
  </si>
  <si>
    <t>Clicksign</t>
  </si>
  <si>
    <t>https://www.clicksign.com</t>
  </si>
  <si>
    <t>aa020bf137.png</t>
  </si>
  <si>
    <t>ContaPaga</t>
  </si>
  <si>
    <t>DirectTalk</t>
  </si>
  <si>
    <t>6022056f1e.png</t>
  </si>
  <si>
    <t>Galena</t>
  </si>
  <si>
    <t>https://www.galena.com</t>
  </si>
  <si>
    <t>da9240af2a.png</t>
  </si>
  <si>
    <t>Grubster / ChefsClub</t>
  </si>
  <si>
    <t>HospedeVIP</t>
  </si>
  <si>
    <t>Humortadela</t>
  </si>
  <si>
    <t>0cf980daec.png</t>
  </si>
  <si>
    <t>Ingresse</t>
  </si>
  <si>
    <t>https://ingresse.com/</t>
  </si>
  <si>
    <t>7d65ca6dde.png</t>
  </si>
  <si>
    <t>Jet8</t>
  </si>
  <si>
    <t>https://jet8.io/</t>
  </si>
  <si>
    <t>f6a286ee47.png</t>
  </si>
  <si>
    <t>LOFTY / ROOMORAMA</t>
  </si>
  <si>
    <t>https://roomorama.com/</t>
  </si>
  <si>
    <t>Lema21</t>
  </si>
  <si>
    <t>Vendida à Essilor</t>
  </si>
  <si>
    <t>Adquirida</t>
  </si>
  <si>
    <t>Lulu App</t>
  </si>
  <si>
    <t>MarketUP</t>
  </si>
  <si>
    <t>https://marketup.com</t>
  </si>
  <si>
    <t>4047ffd9a4.png</t>
  </si>
  <si>
    <t>Moneto</t>
  </si>
  <si>
    <t>OrderIn</t>
  </si>
  <si>
    <t>62f4f9938d.png</t>
  </si>
  <si>
    <t>Prontmed</t>
  </si>
  <si>
    <t>https://www.prontmed.com</t>
  </si>
  <si>
    <t>b4494154ca.png</t>
  </si>
  <si>
    <t>Qipu / MEI Grátis</t>
  </si>
  <si>
    <t>https://qipu.com.br/</t>
  </si>
  <si>
    <t>289192bf69.png</t>
  </si>
  <si>
    <t>Quero Educação</t>
  </si>
  <si>
    <t>d491f7a1ff.png</t>
  </si>
  <si>
    <t>RecargaPay</t>
  </si>
  <si>
    <t>https://recargapay.com.br</t>
  </si>
  <si>
    <t>c262835caf.png</t>
  </si>
  <si>
    <t>SP Ventures</t>
  </si>
  <si>
    <t>https://spventures.com.br/</t>
  </si>
  <si>
    <t>d15738202b.png</t>
  </si>
  <si>
    <t>Scup</t>
  </si>
  <si>
    <t>b4b241d87d.png</t>
  </si>
  <si>
    <t>SetYou</t>
  </si>
  <si>
    <t>https://setyou.com.br/</t>
  </si>
  <si>
    <t>80498a675b.png</t>
  </si>
  <si>
    <t>Shoes4you</t>
  </si>
  <si>
    <t>https://shoes4you.com.br/</t>
  </si>
  <si>
    <t>164d131ac4.png</t>
  </si>
  <si>
    <t>Siga Seu Time</t>
  </si>
  <si>
    <t>Viagogo</t>
  </si>
  <si>
    <t>https://www.viagogo.com/</t>
  </si>
  <si>
    <t>b14d2ee246.png</t>
  </si>
  <si>
    <t>ViajaNet</t>
  </si>
  <si>
    <t>d98ba85a96.png</t>
  </si>
  <si>
    <t>Zup</t>
  </si>
  <si>
    <t>https://zup.com.br/</t>
  </si>
  <si>
    <t>477f11fab3.png</t>
  </si>
  <si>
    <t>youHotel</t>
  </si>
  <si>
    <t>Portfólio do site: fonte da verdade</t>
  </si>
  <si>
    <t>Cada linha da aba Empresas é um card da página Portfólio. Edite aqui e depois peça ao Claude Code:</t>
  </si>
  <si>
    <t xml:space="preserve">  "Atualize o site a partir da planilha do portfólio"  (roda: python3 scripts/portfolio.py build)</t>
  </si>
  <si>
    <t>Prioridade: menor número aparece primeiro. Saltos de 10 deixam espaço para encaixar empresas.</t>
  </si>
  <si>
    <t>Publicar: x = aparece no site. Tirar o x esconde a empresa sem apagar a linha.</t>
  </si>
  <si>
    <t>Home: número = posição no carrossel de logos da home. Vazio = fora da home.</t>
  </si>
  <si>
    <t>Relações (Fundação, Anjo, VC, Gestão, Conselho, Buscapé): marque x em quantas quiser.</t>
  </si>
  <si>
    <t xml:space="preserve">  Elas definem os filtros e as contagens da página. O texto no card vem de Rótulo (opcional)</t>
  </si>
  <si>
    <t xml:space="preserve">  ou, se vazio, é montado a partir das relações marcadas. A coluna Rótulo no site mostra o resultado.</t>
  </si>
  <si>
    <t>Logo: nome do arquivo em assets/img/. Para um logo novo, salve o arquivo lá e escreva o nome aqui.</t>
  </si>
  <si>
    <t>Matéria: link, título e fonte · data aparecem como destaque no card.</t>
  </si>
  <si>
    <t>Observações internas não vão para o site.</t>
  </si>
  <si>
    <t>Passe o mouse no cabeçalho de cada coluna para ver a explicação.</t>
  </si>
  <si>
    <t>Não renomeie os cabeçalhos da aba Empresas: o script procura as colunas pelo nome.</t>
  </si>
  <si>
    <t>Status sugeridos</t>
  </si>
  <si>
    <t>Relação</t>
  </si>
  <si>
    <t>Código no site</t>
  </si>
  <si>
    <t>Botão de filtro</t>
  </si>
  <si>
    <t>Rótulo automático</t>
  </si>
  <si>
    <t>fund</t>
  </si>
  <si>
    <t>Fundador</t>
  </si>
  <si>
    <t>anjo</t>
  </si>
  <si>
    <t>vc</t>
  </si>
  <si>
    <t>Venture capital</t>
  </si>
  <si>
    <t>gestao</t>
  </si>
  <si>
    <t>conselho</t>
  </si>
  <si>
    <t>Conselhos</t>
  </si>
  <si>
    <t>corp</t>
  </si>
  <si>
    <t>Sócio de Gestora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</si>
</sst>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color rgb="FF6B7280"/>
      <name val="Calibri"/>
      <family val="2"/>
    </font>
    <font>
      <b/>
      <sz val="14"/>
      <name val="Calibri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374151"/>
      </patternFill>
    </fill>
    <fill>
      <patternFill patternType="solid">
        <fgColor rgb="FFF3F4F6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" fillId="4" borderId="0" xfId="0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workbookViewId="0"/>
  </sheetViews>
  <sheetFormatPr baseColWidth="10" defaultColWidth="8.83203125" defaultRowHeight="15" x14ac:dyDescent="0.2"/>
  <cols>
    <col min="1" max="1" width="110" customWidth="1"/>
  </cols>
  <sheetData>
    <row r="1" spans="1:1" ht="19" x14ac:dyDescent="0.25">
      <c r="A1" s="1" t="s">
        <v>343</v>
      </c>
    </row>
    <row r="3" spans="1:1" x14ac:dyDescent="0.2">
      <c r="A3" t="s">
        <v>344</v>
      </c>
    </row>
    <row r="4" spans="1:1" x14ac:dyDescent="0.2">
      <c r="A4" t="s">
        <v>345</v>
      </c>
    </row>
    <row r="6" spans="1:1" x14ac:dyDescent="0.2">
      <c r="A6" t="s">
        <v>346</v>
      </c>
    </row>
    <row r="7" spans="1:1" x14ac:dyDescent="0.2">
      <c r="A7" t="s">
        <v>347</v>
      </c>
    </row>
    <row r="8" spans="1:1" x14ac:dyDescent="0.2">
      <c r="A8" t="s">
        <v>348</v>
      </c>
    </row>
    <row r="9" spans="1:1" x14ac:dyDescent="0.2">
      <c r="A9" t="s">
        <v>349</v>
      </c>
    </row>
    <row r="10" spans="1:1" x14ac:dyDescent="0.2">
      <c r="A10" t="s">
        <v>350</v>
      </c>
    </row>
    <row r="11" spans="1:1" x14ac:dyDescent="0.2">
      <c r="A11" t="s">
        <v>351</v>
      </c>
    </row>
    <row r="12" spans="1:1" x14ac:dyDescent="0.2">
      <c r="A12" t="s">
        <v>352</v>
      </c>
    </row>
    <row r="13" spans="1:1" x14ac:dyDescent="0.2">
      <c r="A13" t="s">
        <v>353</v>
      </c>
    </row>
    <row r="14" spans="1:1" x14ac:dyDescent="0.2">
      <c r="A14" t="s">
        <v>354</v>
      </c>
    </row>
    <row r="16" spans="1:1" x14ac:dyDescent="0.2">
      <c r="A16" t="s">
        <v>355</v>
      </c>
    </row>
    <row r="17" spans="1:1" x14ac:dyDescent="0.2">
      <c r="A17" t="s">
        <v>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27"/>
  <sheetViews>
    <sheetView tabSelected="1" workbookViewId="0">
      <pane xSplit="4" ySplit="1" topLeftCell="E2" activePane="bottomRight" state="frozen"/>
      <selection pane="topRight"/>
      <selection pane="bottomLeft"/>
      <selection pane="bottomRight" activeCell="B84" sqref="B84"/>
    </sheetView>
  </sheetViews>
  <sheetFormatPr baseColWidth="10" defaultColWidth="8.83203125" defaultRowHeight="15" x14ac:dyDescent="0.2"/>
  <cols>
    <col min="1" max="1" width="11" customWidth="1"/>
    <col min="2" max="2" width="9" customWidth="1"/>
    <col min="3" max="3" width="8" customWidth="1"/>
    <col min="4" max="4" width="26" customWidth="1"/>
    <col min="5" max="5" width="22" customWidth="1"/>
    <col min="6" max="11" width="10" customWidth="1"/>
    <col min="12" max="13" width="30" customWidth="1"/>
    <col min="14" max="14" width="26" customWidth="1"/>
    <col min="15" max="15" width="8" customWidth="1"/>
    <col min="16" max="16" width="20" customWidth="1"/>
    <col min="17" max="17" width="34" customWidth="1"/>
    <col min="18" max="19" width="17" customWidth="1"/>
    <col min="20" max="20" width="16" customWidth="1"/>
    <col min="21" max="21" width="22" customWidth="1"/>
    <col min="22" max="22" width="34" customWidth="1"/>
    <col min="23" max="23" width="28" customWidth="1"/>
    <col min="24" max="24" width="22" customWidth="1"/>
    <col min="25" max="25" width="36" customWidth="1"/>
  </cols>
  <sheetData>
    <row r="1" spans="1:25" ht="32" customHeight="1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</row>
    <row r="2" spans="1:25" x14ac:dyDescent="0.2">
      <c r="A2" s="5">
        <v>10</v>
      </c>
      <c r="B2" s="5" t="s">
        <v>25</v>
      </c>
      <c r="C2" s="5">
        <v>1</v>
      </c>
      <c r="D2" t="s">
        <v>10</v>
      </c>
      <c r="F2" s="5" t="s">
        <v>25</v>
      </c>
      <c r="G2" s="5"/>
      <c r="H2" s="5"/>
      <c r="I2" s="5" t="s">
        <v>25</v>
      </c>
      <c r="J2" s="5"/>
      <c r="K2" s="5"/>
      <c r="L2" t="s">
        <v>26</v>
      </c>
      <c r="M2" s="6" t="str">
        <f>IF(L2&lt;&gt;"",L2,_xlfn.TEXTJOIN(" · ",TRUE,IF(F2&lt;&gt;"","Fundador",""),IF(G2&lt;&gt;"","Anjo",""),IF(H2&lt;&gt;"","VC",""),IF(I2&lt;&gt;"","Gestão",""),IF(J2&lt;&gt;"","Conselho",""),IF(K2&lt;&gt;"","Buscapé","")))</f>
        <v>Fundador e CEO · Pres. do conselho</v>
      </c>
      <c r="N2" t="s">
        <v>27</v>
      </c>
      <c r="O2" s="5">
        <v>1998</v>
      </c>
      <c r="P2" t="s">
        <v>28</v>
      </c>
      <c r="Q2" t="s">
        <v>29</v>
      </c>
      <c r="R2" t="s">
        <v>30</v>
      </c>
    </row>
    <row r="3" spans="1:25" x14ac:dyDescent="0.2">
      <c r="A3" s="5">
        <v>20</v>
      </c>
      <c r="B3" s="5" t="s">
        <v>25</v>
      </c>
      <c r="C3" s="5">
        <v>2</v>
      </c>
      <c r="D3" t="s">
        <v>31</v>
      </c>
      <c r="F3" s="5"/>
      <c r="G3" s="5"/>
      <c r="H3" s="5" t="s">
        <v>25</v>
      </c>
      <c r="I3" s="5"/>
      <c r="J3" s="5" t="s">
        <v>25</v>
      </c>
      <c r="K3" s="5"/>
      <c r="M3" s="6" t="str">
        <f>IF(L3&lt;&gt;"",L3,_xlfn.TEXTJOIN(" · ",TRUE,IF(F3&lt;&gt;"","Fundador",""),IF(G3&lt;&gt;"","Anjo",""),IF(H3&lt;&gt;"","VC",""),IF(I3&lt;&gt;"","Gestão",""),IF(J3&lt;&gt;"","Conselho",""),IF(K3&lt;&gt;"","Buscapé","")))</f>
        <v>VC · Conselho</v>
      </c>
      <c r="N3" t="s">
        <v>32</v>
      </c>
      <c r="O3" s="5">
        <v>2015</v>
      </c>
      <c r="P3" t="s">
        <v>33</v>
      </c>
      <c r="Q3" t="s">
        <v>34</v>
      </c>
      <c r="R3" t="s">
        <v>35</v>
      </c>
    </row>
    <row r="4" spans="1:25" x14ac:dyDescent="0.2">
      <c r="A4" s="5">
        <v>30</v>
      </c>
      <c r="B4" s="5" t="s">
        <v>25</v>
      </c>
      <c r="C4" s="5">
        <v>3</v>
      </c>
      <c r="D4" t="s">
        <v>40</v>
      </c>
      <c r="F4" s="5"/>
      <c r="G4" s="5" t="s">
        <v>25</v>
      </c>
      <c r="H4" s="5" t="s">
        <v>25</v>
      </c>
      <c r="I4" s="5"/>
      <c r="J4" s="5"/>
      <c r="K4" s="5"/>
      <c r="M4" s="6" t="str">
        <f>IF(L4&lt;&gt;"",L4,_xlfn.TEXTJOIN(" · ",TRUE,IF(F4&lt;&gt;"","Fundador",""),IF(G4&lt;&gt;"","Anjo",""),IF(H4&lt;&gt;"","VC",""),IF(I4&lt;&gt;"","Gestão",""),IF(J4&lt;&gt;"","Conselho",""),IF(K4&lt;&gt;"","Buscapé","")))</f>
        <v>Anjo · VC</v>
      </c>
      <c r="O4" s="5">
        <v>2013</v>
      </c>
      <c r="Q4" t="s">
        <v>41</v>
      </c>
      <c r="R4" t="s">
        <v>42</v>
      </c>
    </row>
    <row r="5" spans="1:25" x14ac:dyDescent="0.2">
      <c r="A5" s="5">
        <v>40</v>
      </c>
      <c r="B5" s="5" t="s">
        <v>25</v>
      </c>
      <c r="C5" s="5">
        <v>4</v>
      </c>
      <c r="D5" t="s">
        <v>36</v>
      </c>
      <c r="F5" s="5"/>
      <c r="G5" s="5" t="s">
        <v>25</v>
      </c>
      <c r="H5" s="5"/>
      <c r="I5" s="5"/>
      <c r="J5" s="5" t="s">
        <v>25</v>
      </c>
      <c r="K5" s="5"/>
      <c r="M5" s="6" t="str">
        <f>IF(L5&lt;&gt;"",L5,_xlfn.TEXTJOIN(" · ",TRUE,IF(F5&lt;&gt;"","Fundador",""),IF(G5&lt;&gt;"","Anjo",""),IF(H5&lt;&gt;"","VC",""),IF(I5&lt;&gt;"","Gestão",""),IF(J5&lt;&gt;"","Conselho",""),IF(K5&lt;&gt;"","Buscapé","")))</f>
        <v>Anjo · Conselho</v>
      </c>
      <c r="O5" s="5">
        <v>2014</v>
      </c>
      <c r="P5" t="s">
        <v>37</v>
      </c>
      <c r="Q5" t="s">
        <v>38</v>
      </c>
      <c r="R5" t="s">
        <v>39</v>
      </c>
    </row>
    <row r="6" spans="1:25" x14ac:dyDescent="0.2">
      <c r="A6" s="5">
        <v>50</v>
      </c>
      <c r="B6" s="5" t="s">
        <v>25</v>
      </c>
      <c r="C6" s="5">
        <v>5</v>
      </c>
      <c r="D6" t="s">
        <v>43</v>
      </c>
      <c r="F6" s="5"/>
      <c r="G6" s="5"/>
      <c r="H6" s="5" t="s">
        <v>25</v>
      </c>
      <c r="I6" s="5"/>
      <c r="J6" s="5" t="s">
        <v>25</v>
      </c>
      <c r="K6" s="5"/>
      <c r="M6" s="6" t="str">
        <f>IF(L6&lt;&gt;"",L6,_xlfn.TEXTJOIN(" · ",TRUE,IF(F6&lt;&gt;"","Fundador",""),IF(G6&lt;&gt;"","Anjo",""),IF(H6&lt;&gt;"","VC",""),IF(I6&lt;&gt;"","Gestão",""),IF(J6&lt;&gt;"","Conselho",""),IF(K6&lt;&gt;"","Buscapé","")))</f>
        <v>VC · Conselho</v>
      </c>
      <c r="O6" s="5">
        <v>2015</v>
      </c>
      <c r="P6" t="s">
        <v>44</v>
      </c>
      <c r="Q6" t="s">
        <v>45</v>
      </c>
      <c r="R6" t="s">
        <v>46</v>
      </c>
    </row>
    <row r="7" spans="1:25" x14ac:dyDescent="0.2">
      <c r="A7" s="5">
        <v>60</v>
      </c>
      <c r="B7" s="5" t="s">
        <v>25</v>
      </c>
      <c r="C7" s="5">
        <v>6</v>
      </c>
      <c r="D7" t="s">
        <v>47</v>
      </c>
      <c r="F7" s="5"/>
      <c r="G7" s="5"/>
      <c r="H7" s="5"/>
      <c r="I7" s="5"/>
      <c r="J7" s="5"/>
      <c r="K7" s="5" t="s">
        <v>25</v>
      </c>
      <c r="M7" s="6" t="str">
        <f>IF(L7&lt;&gt;"",L7,_xlfn.TEXTJOIN(" · ",TRUE,IF(F7&lt;&gt;"","Fundador",""),IF(G7&lt;&gt;"","Anjo",""),IF(H7&lt;&gt;"","VC",""),IF(I7&lt;&gt;"","Gestão",""),IF(J7&lt;&gt;"","Conselho",""),IF(K7&lt;&gt;"","Buscapé","")))</f>
        <v>Buscapé</v>
      </c>
      <c r="O7" s="5">
        <v>2011</v>
      </c>
      <c r="Q7" t="s">
        <v>48</v>
      </c>
      <c r="R7" t="s">
        <v>49</v>
      </c>
    </row>
    <row r="8" spans="1:25" x14ac:dyDescent="0.2">
      <c r="A8" s="5">
        <v>70</v>
      </c>
      <c r="B8" s="5" t="s">
        <v>25</v>
      </c>
      <c r="C8" s="5">
        <v>7</v>
      </c>
      <c r="D8" t="s">
        <v>142</v>
      </c>
      <c r="F8" s="5"/>
      <c r="G8" s="5"/>
      <c r="H8" s="5"/>
      <c r="I8" s="5" t="s">
        <v>25</v>
      </c>
      <c r="J8" s="5"/>
      <c r="K8" s="5"/>
      <c r="L8" t="s">
        <v>143</v>
      </c>
      <c r="M8" s="6" t="str">
        <f>IF(L8&lt;&gt;"",L8,_xlfn.TEXTJOIN(" · ",TRUE,IF(F8&lt;&gt;"","Fundador",""),IF(G8&lt;&gt;"","Anjo",""),IF(H8&lt;&gt;"","VC",""),IF(I8&lt;&gt;"","Gestão",""),IF(J8&lt;&gt;"","Conselho",""),IF(K8&lt;&gt;"","Buscapé","")))</f>
        <v>Sócio de gestora</v>
      </c>
      <c r="O8" s="5">
        <v>2021</v>
      </c>
      <c r="Q8" t="s">
        <v>144</v>
      </c>
      <c r="R8" t="s">
        <v>145</v>
      </c>
    </row>
    <row r="9" spans="1:25" x14ac:dyDescent="0.2">
      <c r="A9" s="5">
        <v>80</v>
      </c>
      <c r="B9" s="5" t="s">
        <v>25</v>
      </c>
      <c r="C9" s="5">
        <v>8</v>
      </c>
      <c r="D9" t="s">
        <v>65</v>
      </c>
      <c r="F9" s="5"/>
      <c r="G9" s="5"/>
      <c r="H9" s="5"/>
      <c r="I9" s="5"/>
      <c r="J9" s="5" t="s">
        <v>25</v>
      </c>
      <c r="K9" s="5"/>
      <c r="M9" s="6" t="str">
        <f>IF(L9&lt;&gt;"",L9,_xlfn.TEXTJOIN(" · ",TRUE,IF(F9&lt;&gt;"","Fundador",""),IF(G9&lt;&gt;"","Anjo",""),IF(H9&lt;&gt;"","VC",""),IF(I9&lt;&gt;"","Gestão",""),IF(J9&lt;&gt;"","Conselho",""),IF(K9&lt;&gt;"","Buscapé","")))</f>
        <v>Conselho</v>
      </c>
      <c r="O9" s="5">
        <v>2012</v>
      </c>
      <c r="Q9" t="s">
        <v>66</v>
      </c>
      <c r="R9" t="s">
        <v>67</v>
      </c>
    </row>
    <row r="10" spans="1:25" x14ac:dyDescent="0.2">
      <c r="A10" s="5">
        <v>90</v>
      </c>
      <c r="B10" s="5" t="s">
        <v>25</v>
      </c>
      <c r="C10" s="5">
        <v>9</v>
      </c>
      <c r="D10" t="s">
        <v>58</v>
      </c>
      <c r="F10" s="5"/>
      <c r="G10" s="5"/>
      <c r="H10" s="5"/>
      <c r="I10" s="5"/>
      <c r="J10" s="5" t="s">
        <v>25</v>
      </c>
      <c r="K10" s="5"/>
      <c r="M10" s="6" t="str">
        <f>IF(L10&lt;&gt;"",L10,_xlfn.TEXTJOIN(" · ",TRUE,IF(F10&lt;&gt;"","Fundador",""),IF(G10&lt;&gt;"","Anjo",""),IF(H10&lt;&gt;"","VC",""),IF(I10&lt;&gt;"","Gestão",""),IF(J10&lt;&gt;"","Conselho",""),IF(K10&lt;&gt;"","Buscapé","")))</f>
        <v>Conselho</v>
      </c>
      <c r="O10" s="5">
        <v>2014</v>
      </c>
      <c r="P10" t="s">
        <v>59</v>
      </c>
      <c r="Q10" t="s">
        <v>60</v>
      </c>
      <c r="R10" t="s">
        <v>61</v>
      </c>
    </row>
    <row r="11" spans="1:25" x14ac:dyDescent="0.2">
      <c r="A11" s="5">
        <v>100</v>
      </c>
      <c r="B11" s="5" t="s">
        <v>25</v>
      </c>
      <c r="C11" s="5">
        <v>10</v>
      </c>
      <c r="D11" t="s">
        <v>50</v>
      </c>
      <c r="F11" s="5"/>
      <c r="G11" s="5" t="s">
        <v>25</v>
      </c>
      <c r="H11" s="5"/>
      <c r="I11" s="5"/>
      <c r="J11" s="5"/>
      <c r="K11" s="5" t="s">
        <v>25</v>
      </c>
      <c r="M11" s="6" t="str">
        <f>IF(L11&lt;&gt;"",L11,_xlfn.TEXTJOIN(" · ",TRUE,IF(F11&lt;&gt;"","Fundador",""),IF(G11&lt;&gt;"","Anjo",""),IF(H11&lt;&gt;"","VC",""),IF(I11&lt;&gt;"","Gestão",""),IF(J11&lt;&gt;"","Conselho",""),IF(K11&lt;&gt;"","Buscapé","")))</f>
        <v>Anjo · Buscapé</v>
      </c>
      <c r="O11" s="5">
        <v>2004</v>
      </c>
      <c r="Q11" t="s">
        <v>51</v>
      </c>
      <c r="R11" t="s">
        <v>52</v>
      </c>
    </row>
    <row r="12" spans="1:25" x14ac:dyDescent="0.2">
      <c r="A12" s="5">
        <v>110</v>
      </c>
      <c r="B12" s="5" t="s">
        <v>25</v>
      </c>
      <c r="C12" s="5">
        <v>11</v>
      </c>
      <c r="D12" t="s">
        <v>68</v>
      </c>
      <c r="E12" t="s">
        <v>69</v>
      </c>
      <c r="F12" s="5"/>
      <c r="G12" s="5" t="s">
        <v>25</v>
      </c>
      <c r="H12" s="5"/>
      <c r="I12" s="5"/>
      <c r="J12" s="5" t="s">
        <v>25</v>
      </c>
      <c r="K12" s="5"/>
      <c r="M12" s="6" t="str">
        <f>IF(L12&lt;&gt;"",L12,_xlfn.TEXTJOIN(" · ",TRUE,IF(F12&lt;&gt;"","Fundador",""),IF(G12&lt;&gt;"","Anjo",""),IF(H12&lt;&gt;"","VC",""),IF(I12&lt;&gt;"","Gestão",""),IF(J12&lt;&gt;"","Conselho",""),IF(K12&lt;&gt;"","Buscapé","")))</f>
        <v>Anjo · Conselho</v>
      </c>
      <c r="O12" s="5">
        <v>2010</v>
      </c>
      <c r="R12" t="s">
        <v>70</v>
      </c>
      <c r="S12" t="s">
        <v>71</v>
      </c>
      <c r="U12" t="s">
        <v>72</v>
      </c>
    </row>
    <row r="13" spans="1:25" x14ac:dyDescent="0.2">
      <c r="A13" s="5">
        <v>120</v>
      </c>
      <c r="B13" s="5" t="s">
        <v>25</v>
      </c>
      <c r="C13" s="5">
        <v>12</v>
      </c>
      <c r="D13" t="s">
        <v>53</v>
      </c>
      <c r="F13" s="5"/>
      <c r="G13" s="5"/>
      <c r="H13" s="5" t="s">
        <v>25</v>
      </c>
      <c r="I13" s="5"/>
      <c r="J13" s="5"/>
      <c r="K13" s="5"/>
      <c r="M13" s="6" t="str">
        <f>IF(L13&lt;&gt;"",L13,_xlfn.TEXTJOIN(" · ",TRUE,IF(F13&lt;&gt;"","Fundador",""),IF(G13&lt;&gt;"","Anjo",""),IF(H13&lt;&gt;"","VC",""),IF(I13&lt;&gt;"","Gestão",""),IF(J13&lt;&gt;"","Conselho",""),IF(K13&lt;&gt;"","Buscapé","")))</f>
        <v>VC</v>
      </c>
      <c r="O13" s="5"/>
      <c r="Q13" t="s">
        <v>54</v>
      </c>
      <c r="R13" t="s">
        <v>55</v>
      </c>
    </row>
    <row r="14" spans="1:25" x14ac:dyDescent="0.2">
      <c r="A14" s="5">
        <v>130</v>
      </c>
      <c r="B14" s="5" t="s">
        <v>25</v>
      </c>
      <c r="C14" s="5">
        <v>13</v>
      </c>
      <c r="D14" t="s">
        <v>339</v>
      </c>
      <c r="F14" s="5"/>
      <c r="G14" s="5" t="s">
        <v>25</v>
      </c>
      <c r="H14" s="5"/>
      <c r="I14" s="5"/>
      <c r="J14" s="5"/>
      <c r="K14" s="5"/>
      <c r="M14" s="6" t="str">
        <f>IF(L14&lt;&gt;"",L14,_xlfn.TEXTJOIN(" · ",TRUE,IF(F14&lt;&gt;"","Fundador",""),IF(G14&lt;&gt;"","Anjo",""),IF(H14&lt;&gt;"","VC",""),IF(I14&lt;&gt;"","Gestão",""),IF(J14&lt;&gt;"","Conselho",""),IF(K14&lt;&gt;"","Buscapé","")))</f>
        <v>Anjo</v>
      </c>
      <c r="O14" s="5"/>
      <c r="Q14" t="s">
        <v>340</v>
      </c>
      <c r="R14" t="s">
        <v>341</v>
      </c>
    </row>
    <row r="15" spans="1:25" x14ac:dyDescent="0.2">
      <c r="A15" s="5">
        <v>140</v>
      </c>
      <c r="B15" s="5" t="s">
        <v>25</v>
      </c>
      <c r="C15" s="5">
        <v>14</v>
      </c>
      <c r="D15" t="s">
        <v>238</v>
      </c>
      <c r="F15" s="5"/>
      <c r="G15" s="5" t="s">
        <v>25</v>
      </c>
      <c r="H15" s="5"/>
      <c r="I15" s="5"/>
      <c r="J15" s="5"/>
      <c r="K15" s="5"/>
      <c r="M15" s="6" t="str">
        <f>IF(L15&lt;&gt;"",L15,_xlfn.TEXTJOIN(" · ",TRUE,IF(F15&lt;&gt;"","Fundador",""),IF(G15&lt;&gt;"","Anjo",""),IF(H15&lt;&gt;"","VC",""),IF(I15&lt;&gt;"","Gestão",""),IF(J15&lt;&gt;"","Conselho",""),IF(K15&lt;&gt;"","Buscapé","")))</f>
        <v>Anjo</v>
      </c>
      <c r="O15" s="5">
        <v>2010</v>
      </c>
      <c r="Q15" t="s">
        <v>239</v>
      </c>
      <c r="R15" t="s">
        <v>240</v>
      </c>
    </row>
    <row r="16" spans="1:25" x14ac:dyDescent="0.2">
      <c r="A16" s="5">
        <v>150</v>
      </c>
      <c r="B16" s="5" t="s">
        <v>25</v>
      </c>
      <c r="C16" s="5">
        <v>15</v>
      </c>
      <c r="D16" t="s">
        <v>56</v>
      </c>
      <c r="F16" s="5"/>
      <c r="G16" s="5" t="s">
        <v>25</v>
      </c>
      <c r="H16" s="5"/>
      <c r="I16" s="5"/>
      <c r="J16" s="5" t="s">
        <v>25</v>
      </c>
      <c r="K16" s="5"/>
      <c r="M16" s="6" t="str">
        <f>IF(L16&lt;&gt;"",L16,_xlfn.TEXTJOIN(" · ",TRUE,IF(F16&lt;&gt;"","Fundador",""),IF(G16&lt;&gt;"","Anjo",""),IF(H16&lt;&gt;"","VC",""),IF(I16&lt;&gt;"","Gestão",""),IF(J16&lt;&gt;"","Conselho",""),IF(K16&lt;&gt;"","Buscapé","")))</f>
        <v>Anjo · Conselho</v>
      </c>
      <c r="O16" s="5">
        <v>2013</v>
      </c>
      <c r="P16" t="s">
        <v>44</v>
      </c>
      <c r="R16" t="s">
        <v>57</v>
      </c>
    </row>
    <row r="17" spans="1:18" x14ac:dyDescent="0.2">
      <c r="A17" s="5">
        <v>160</v>
      </c>
      <c r="B17" s="5" t="s">
        <v>25</v>
      </c>
      <c r="C17" s="5">
        <v>16</v>
      </c>
      <c r="D17" t="s">
        <v>319</v>
      </c>
      <c r="F17" s="5"/>
      <c r="G17" s="5" t="s">
        <v>25</v>
      </c>
      <c r="H17" s="5"/>
      <c r="I17" s="5"/>
      <c r="J17" s="5"/>
      <c r="K17" s="5"/>
      <c r="M17" s="6" t="str">
        <f>IF(L17&lt;&gt;"",L17,_xlfn.TEXTJOIN(" · ",TRUE,IF(F17&lt;&gt;"","Fundador",""),IF(G17&lt;&gt;"","Anjo",""),IF(H17&lt;&gt;"","VC",""),IF(I17&lt;&gt;"","Gestão",""),IF(J17&lt;&gt;"","Conselho",""),IF(K17&lt;&gt;"","Buscapé","")))</f>
        <v>Anjo</v>
      </c>
      <c r="O17" s="5"/>
      <c r="Q17" t="s">
        <v>320</v>
      </c>
      <c r="R17" t="s">
        <v>321</v>
      </c>
    </row>
    <row r="18" spans="1:18" x14ac:dyDescent="0.2">
      <c r="A18" s="5">
        <v>170</v>
      </c>
      <c r="B18" s="5" t="s">
        <v>25</v>
      </c>
      <c r="C18" s="5">
        <v>17</v>
      </c>
      <c r="D18" t="s">
        <v>198</v>
      </c>
      <c r="F18" s="5"/>
      <c r="G18" s="5"/>
      <c r="H18" s="5"/>
      <c r="I18" s="5" t="s">
        <v>25</v>
      </c>
      <c r="J18" s="5"/>
      <c r="K18" s="5"/>
      <c r="M18" s="6" t="str">
        <f>IF(L18&lt;&gt;"",L18,_xlfn.TEXTJOIN(" · ",TRUE,IF(F18&lt;&gt;"","Fundador",""),IF(G18&lt;&gt;"","Anjo",""),IF(H18&lt;&gt;"","VC",""),IF(I18&lt;&gt;"","Gestão",""),IF(J18&lt;&gt;"","Conselho",""),IF(K18&lt;&gt;"","Buscapé","")))</f>
        <v>Gestão</v>
      </c>
      <c r="O18" s="5">
        <v>2014</v>
      </c>
      <c r="Q18" t="s">
        <v>199</v>
      </c>
      <c r="R18" t="s">
        <v>200</v>
      </c>
    </row>
    <row r="19" spans="1:18" x14ac:dyDescent="0.2">
      <c r="A19" s="5">
        <v>180</v>
      </c>
      <c r="B19" s="5" t="s">
        <v>25</v>
      </c>
      <c r="C19" s="5">
        <v>18</v>
      </c>
      <c r="D19" t="s">
        <v>62</v>
      </c>
      <c r="F19" s="5"/>
      <c r="G19" s="5"/>
      <c r="H19" s="5"/>
      <c r="I19" s="5"/>
      <c r="J19" s="5" t="s">
        <v>25</v>
      </c>
      <c r="K19" s="5"/>
      <c r="M19" s="6" t="str">
        <f>IF(L19&lt;&gt;"",L19,_xlfn.TEXTJOIN(" · ",TRUE,IF(F19&lt;&gt;"","Fundador",""),IF(G19&lt;&gt;"","Anjo",""),IF(H19&lt;&gt;"","VC",""),IF(I19&lt;&gt;"","Gestão",""),IF(J19&lt;&gt;"","Conselho",""),IF(K19&lt;&gt;"","Buscapé","")))</f>
        <v>Conselho</v>
      </c>
      <c r="O19" s="5">
        <v>2013</v>
      </c>
      <c r="P19" t="s">
        <v>59</v>
      </c>
      <c r="Q19" t="s">
        <v>63</v>
      </c>
      <c r="R19" t="s">
        <v>64</v>
      </c>
    </row>
    <row r="20" spans="1:18" x14ac:dyDescent="0.2">
      <c r="A20" s="5">
        <v>190</v>
      </c>
      <c r="B20" s="5" t="s">
        <v>25</v>
      </c>
      <c r="C20" s="5">
        <v>19</v>
      </c>
      <c r="D20" t="s">
        <v>334</v>
      </c>
      <c r="F20" s="5"/>
      <c r="G20" s="5" t="s">
        <v>25</v>
      </c>
      <c r="H20" s="5"/>
      <c r="I20" s="5"/>
      <c r="J20" s="5"/>
      <c r="K20" s="5"/>
      <c r="M20" s="6" t="str">
        <f>IF(L20&lt;&gt;"",L20,_xlfn.TEXTJOIN(" · ",TRUE,IF(F20&lt;&gt;"","Fundador",""),IF(G20&lt;&gt;"","Anjo",""),IF(H20&lt;&gt;"","VC",""),IF(I20&lt;&gt;"","Gestão",""),IF(J20&lt;&gt;"","Conselho",""),IF(K20&lt;&gt;"","Buscapé","")))</f>
        <v>Anjo</v>
      </c>
      <c r="O20" s="5"/>
      <c r="P20" t="s">
        <v>44</v>
      </c>
      <c r="Q20" t="s">
        <v>335</v>
      </c>
      <c r="R20" t="s">
        <v>336</v>
      </c>
    </row>
    <row r="21" spans="1:18" x14ac:dyDescent="0.2">
      <c r="A21" s="5">
        <v>200</v>
      </c>
      <c r="B21" s="5" t="s">
        <v>25</v>
      </c>
      <c r="C21" s="5"/>
      <c r="D21" t="s">
        <v>155</v>
      </c>
      <c r="F21" s="5"/>
      <c r="G21" s="5"/>
      <c r="H21" s="5" t="s">
        <v>25</v>
      </c>
      <c r="I21" s="5"/>
      <c r="J21" s="5"/>
      <c r="K21" s="5"/>
      <c r="M21" s="6" t="str">
        <f>IF(L21&lt;&gt;"",L21,_xlfn.TEXTJOIN(" · ",TRUE,IF(F21&lt;&gt;"","Fundador",""),IF(G21&lt;&gt;"","Anjo",""),IF(H21&lt;&gt;"","VC",""),IF(I21&lt;&gt;"","Gestão",""),IF(J21&lt;&gt;"","Conselho",""),IF(K21&lt;&gt;"","Buscapé","")))</f>
        <v>VC</v>
      </c>
      <c r="O21" s="5">
        <v>2019</v>
      </c>
      <c r="P21" t="s">
        <v>44</v>
      </c>
      <c r="Q21" t="s">
        <v>156</v>
      </c>
      <c r="R21" t="s">
        <v>157</v>
      </c>
    </row>
    <row r="22" spans="1:18" x14ac:dyDescent="0.2">
      <c r="A22" s="5">
        <v>210</v>
      </c>
      <c r="B22" s="5" t="s">
        <v>25</v>
      </c>
      <c r="C22" s="5"/>
      <c r="D22" t="s">
        <v>104</v>
      </c>
      <c r="F22" s="5"/>
      <c r="G22" s="5"/>
      <c r="H22" s="5" t="s">
        <v>25</v>
      </c>
      <c r="I22" s="5"/>
      <c r="J22" s="5"/>
      <c r="K22" s="5"/>
      <c r="M22" s="6" t="str">
        <f>IF(L22&lt;&gt;"",L22,_xlfn.TEXTJOIN(" · ",TRUE,IF(F22&lt;&gt;"","Fundador",""),IF(G22&lt;&gt;"","Anjo",""),IF(H22&lt;&gt;"","VC",""),IF(I22&lt;&gt;"","Gestão",""),IF(J22&lt;&gt;"","Conselho",""),IF(K22&lt;&gt;"","Buscapé","")))</f>
        <v>VC</v>
      </c>
      <c r="O22" s="5">
        <v>2024</v>
      </c>
      <c r="P22" t="s">
        <v>44</v>
      </c>
      <c r="Q22" t="s">
        <v>105</v>
      </c>
      <c r="R22" t="s">
        <v>106</v>
      </c>
    </row>
    <row r="23" spans="1:18" x14ac:dyDescent="0.2">
      <c r="A23" s="5">
        <v>220</v>
      </c>
      <c r="B23" s="5" t="s">
        <v>25</v>
      </c>
      <c r="C23" s="5"/>
      <c r="D23" t="s">
        <v>73</v>
      </c>
      <c r="F23" s="5"/>
      <c r="G23" s="5"/>
      <c r="H23" s="5" t="s">
        <v>25</v>
      </c>
      <c r="I23" s="5"/>
      <c r="J23" s="5"/>
      <c r="K23" s="5"/>
      <c r="M23" s="6" t="str">
        <f>IF(L23&lt;&gt;"",L23,_xlfn.TEXTJOIN(" · ",TRUE,IF(F23&lt;&gt;"","Fundador",""),IF(G23&lt;&gt;"","Anjo",""),IF(H23&lt;&gt;"","VC",""),IF(I23&lt;&gt;"","Gestão",""),IF(J23&lt;&gt;"","Conselho",""),IF(K23&lt;&gt;"","Buscapé","")))</f>
        <v>VC</v>
      </c>
      <c r="O23" s="5">
        <v>2026</v>
      </c>
      <c r="P23" t="s">
        <v>44</v>
      </c>
      <c r="Q23" t="s">
        <v>74</v>
      </c>
      <c r="R23" t="s">
        <v>75</v>
      </c>
    </row>
    <row r="24" spans="1:18" x14ac:dyDescent="0.2">
      <c r="A24" s="5">
        <v>230</v>
      </c>
      <c r="B24" s="5" t="s">
        <v>25</v>
      </c>
      <c r="C24" s="5"/>
      <c r="D24" t="s">
        <v>139</v>
      </c>
      <c r="F24" s="5"/>
      <c r="G24" s="5"/>
      <c r="H24" s="5" t="s">
        <v>25</v>
      </c>
      <c r="I24" s="5"/>
      <c r="J24" s="5"/>
      <c r="K24" s="5"/>
      <c r="M24" s="6" t="str">
        <f>IF(L24&lt;&gt;"",L24,_xlfn.TEXTJOIN(" · ",TRUE,IF(F24&lt;&gt;"","Fundador",""),IF(G24&lt;&gt;"","Anjo",""),IF(H24&lt;&gt;"","VC",""),IF(I24&lt;&gt;"","Gestão",""),IF(J24&lt;&gt;"","Conselho",""),IF(K24&lt;&gt;"","Buscapé","")))</f>
        <v>VC</v>
      </c>
      <c r="O24" s="5">
        <v>2021</v>
      </c>
      <c r="P24" t="s">
        <v>44</v>
      </c>
      <c r="Q24" t="s">
        <v>140</v>
      </c>
      <c r="R24" t="s">
        <v>141</v>
      </c>
    </row>
    <row r="25" spans="1:18" x14ac:dyDescent="0.2">
      <c r="A25" s="5">
        <v>240</v>
      </c>
      <c r="B25" s="5" t="s">
        <v>25</v>
      </c>
      <c r="C25" s="5"/>
      <c r="D25" t="s">
        <v>76</v>
      </c>
      <c r="F25" s="5"/>
      <c r="G25" s="5"/>
      <c r="H25" s="5" t="s">
        <v>25</v>
      </c>
      <c r="I25" s="5"/>
      <c r="J25" s="5"/>
      <c r="K25" s="5"/>
      <c r="M25" s="6" t="str">
        <f>IF(L25&lt;&gt;"",L25,_xlfn.TEXTJOIN(" · ",TRUE,IF(F25&lt;&gt;"","Fundador",""),IF(G25&lt;&gt;"","Anjo",""),IF(H25&lt;&gt;"","VC",""),IF(I25&lt;&gt;"","Gestão",""),IF(J25&lt;&gt;"","Conselho",""),IF(K25&lt;&gt;"","Buscapé","")))</f>
        <v>VC</v>
      </c>
      <c r="O25" s="5">
        <v>2026</v>
      </c>
      <c r="Q25" t="s">
        <v>77</v>
      </c>
      <c r="R25" t="s">
        <v>78</v>
      </c>
    </row>
    <row r="26" spans="1:18" x14ac:dyDescent="0.2">
      <c r="A26" s="5">
        <v>250</v>
      </c>
      <c r="B26" s="5" t="s">
        <v>25</v>
      </c>
      <c r="C26" s="5"/>
      <c r="D26" t="s">
        <v>93</v>
      </c>
      <c r="F26" s="5"/>
      <c r="G26" s="5"/>
      <c r="H26" s="5" t="s">
        <v>25</v>
      </c>
      <c r="I26" s="5"/>
      <c r="J26" s="5"/>
      <c r="K26" s="5"/>
      <c r="M26" s="6" t="str">
        <f>IF(L26&lt;&gt;"",L26,_xlfn.TEXTJOIN(" · ",TRUE,IF(F26&lt;&gt;"","Fundador",""),IF(G26&lt;&gt;"","Anjo",""),IF(H26&lt;&gt;"","VC",""),IF(I26&lt;&gt;"","Gestão",""),IF(J26&lt;&gt;"","Conselho",""),IF(K26&lt;&gt;"","Buscapé","")))</f>
        <v>VC</v>
      </c>
      <c r="O26" s="5">
        <v>2025</v>
      </c>
      <c r="P26" t="s">
        <v>44</v>
      </c>
      <c r="Q26" t="s">
        <v>94</v>
      </c>
      <c r="R26" t="s">
        <v>95</v>
      </c>
    </row>
    <row r="27" spans="1:18" x14ac:dyDescent="0.2">
      <c r="A27" s="5">
        <v>260</v>
      </c>
      <c r="B27" s="5" t="s">
        <v>25</v>
      </c>
      <c r="C27" s="5"/>
      <c r="D27" t="s">
        <v>96</v>
      </c>
      <c r="F27" s="5"/>
      <c r="G27" s="5"/>
      <c r="H27" s="5" t="s">
        <v>25</v>
      </c>
      <c r="I27" s="5"/>
      <c r="J27" s="5"/>
      <c r="K27" s="5"/>
      <c r="M27" s="6" t="str">
        <f>IF(L27&lt;&gt;"",L27,_xlfn.TEXTJOIN(" · ",TRUE,IF(F27&lt;&gt;"","Fundador",""),IF(G27&lt;&gt;"","Anjo",""),IF(H27&lt;&gt;"","VC",""),IF(I27&lt;&gt;"","Gestão",""),IF(J27&lt;&gt;"","Conselho",""),IF(K27&lt;&gt;"","Buscapé","")))</f>
        <v>VC</v>
      </c>
      <c r="O27" s="5">
        <v>2025</v>
      </c>
      <c r="P27" t="s">
        <v>44</v>
      </c>
      <c r="R27" t="s">
        <v>97</v>
      </c>
    </row>
    <row r="28" spans="1:18" x14ac:dyDescent="0.2">
      <c r="A28" s="5">
        <v>270</v>
      </c>
      <c r="B28" s="5" t="s">
        <v>25</v>
      </c>
      <c r="C28" s="5"/>
      <c r="D28" t="s">
        <v>161</v>
      </c>
      <c r="F28" s="5"/>
      <c r="G28" s="5"/>
      <c r="H28" s="5" t="s">
        <v>25</v>
      </c>
      <c r="I28" s="5"/>
      <c r="J28" s="5"/>
      <c r="K28" s="5"/>
      <c r="M28" s="6" t="str">
        <f>IF(L28&lt;&gt;"",L28,_xlfn.TEXTJOIN(" · ",TRUE,IF(F28&lt;&gt;"","Fundador",""),IF(G28&lt;&gt;"","Anjo",""),IF(H28&lt;&gt;"","VC",""),IF(I28&lt;&gt;"","Gestão",""),IF(J28&lt;&gt;"","Conselho",""),IF(K28&lt;&gt;"","Buscapé","")))</f>
        <v>VC</v>
      </c>
      <c r="O28" s="5">
        <v>2019</v>
      </c>
      <c r="P28" t="s">
        <v>44</v>
      </c>
      <c r="Q28" t="s">
        <v>162</v>
      </c>
      <c r="R28" t="s">
        <v>163</v>
      </c>
    </row>
    <row r="29" spans="1:18" x14ac:dyDescent="0.2">
      <c r="A29" s="5">
        <v>280</v>
      </c>
      <c r="B29" s="5" t="s">
        <v>25</v>
      </c>
      <c r="C29" s="5"/>
      <c r="D29" t="s">
        <v>101</v>
      </c>
      <c r="F29" s="5"/>
      <c r="G29" s="5"/>
      <c r="H29" s="5" t="s">
        <v>25</v>
      </c>
      <c r="I29" s="5"/>
      <c r="J29" s="5"/>
      <c r="K29" s="5"/>
      <c r="M29" s="6" t="str">
        <f>IF(L29&lt;&gt;"",L29,_xlfn.TEXTJOIN(" · ",TRUE,IF(F29&lt;&gt;"","Fundador",""),IF(G29&lt;&gt;"","Anjo",""),IF(H29&lt;&gt;"","VC",""),IF(I29&lt;&gt;"","Gestão",""),IF(J29&lt;&gt;"","Conselho",""),IF(K29&lt;&gt;"","Buscapé","")))</f>
        <v>VC</v>
      </c>
      <c r="O29" s="5">
        <v>2025</v>
      </c>
      <c r="P29" t="s">
        <v>44</v>
      </c>
      <c r="Q29" t="s">
        <v>102</v>
      </c>
      <c r="R29" t="s">
        <v>103</v>
      </c>
    </row>
    <row r="30" spans="1:18" x14ac:dyDescent="0.2">
      <c r="A30" s="5">
        <v>290</v>
      </c>
      <c r="B30" s="5" t="s">
        <v>25</v>
      </c>
      <c r="C30" s="5"/>
      <c r="D30" t="s">
        <v>149</v>
      </c>
      <c r="F30" s="5"/>
      <c r="G30" s="5"/>
      <c r="H30" s="5" t="s">
        <v>25</v>
      </c>
      <c r="I30" s="5"/>
      <c r="J30" s="5"/>
      <c r="K30" s="5"/>
      <c r="M30" s="6" t="str">
        <f>IF(L30&lt;&gt;"",L30,_xlfn.TEXTJOIN(" · ",TRUE,IF(F30&lt;&gt;"","Fundador",""),IF(G30&lt;&gt;"","Anjo",""),IF(H30&lt;&gt;"","VC",""),IF(I30&lt;&gt;"","Gestão",""),IF(J30&lt;&gt;"","Conselho",""),IF(K30&lt;&gt;"","Buscapé","")))</f>
        <v>VC</v>
      </c>
      <c r="O30" s="5">
        <v>2020</v>
      </c>
      <c r="P30" t="s">
        <v>44</v>
      </c>
      <c r="Q30" t="s">
        <v>150</v>
      </c>
      <c r="R30" t="s">
        <v>151</v>
      </c>
    </row>
    <row r="31" spans="1:18" x14ac:dyDescent="0.2">
      <c r="A31" s="5">
        <v>300</v>
      </c>
      <c r="B31" s="5" t="s">
        <v>25</v>
      </c>
      <c r="C31" s="5"/>
      <c r="D31" t="s">
        <v>152</v>
      </c>
      <c r="F31" s="5"/>
      <c r="G31" s="5"/>
      <c r="H31" s="5" t="s">
        <v>25</v>
      </c>
      <c r="I31" s="5"/>
      <c r="J31" s="5"/>
      <c r="K31" s="5"/>
      <c r="M31" s="6" t="str">
        <f>IF(L31&lt;&gt;"",L31,_xlfn.TEXTJOIN(" · ",TRUE,IF(F31&lt;&gt;"","Fundador",""),IF(G31&lt;&gt;"","Anjo",""),IF(H31&lt;&gt;"","VC",""),IF(I31&lt;&gt;"","Gestão",""),IF(J31&lt;&gt;"","Conselho",""),IF(K31&lt;&gt;"","Buscapé","")))</f>
        <v>VC</v>
      </c>
      <c r="O31" s="5">
        <v>2020</v>
      </c>
      <c r="P31" t="s">
        <v>44</v>
      </c>
      <c r="Q31" t="s">
        <v>153</v>
      </c>
      <c r="R31" t="s">
        <v>154</v>
      </c>
    </row>
    <row r="32" spans="1:18" x14ac:dyDescent="0.2">
      <c r="A32" s="5">
        <v>310</v>
      </c>
      <c r="B32" s="5" t="s">
        <v>25</v>
      </c>
      <c r="C32" s="5"/>
      <c r="D32" t="s">
        <v>305</v>
      </c>
      <c r="F32" s="5"/>
      <c r="G32" s="5" t="s">
        <v>25</v>
      </c>
      <c r="H32" s="5"/>
      <c r="I32" s="5"/>
      <c r="J32" s="5" t="s">
        <v>25</v>
      </c>
      <c r="K32" s="5"/>
      <c r="M32" s="6" t="str">
        <f>IF(L32&lt;&gt;"",L32,_xlfn.TEXTJOIN(" · ",TRUE,IF(F32&lt;&gt;"","Fundador",""),IF(G32&lt;&gt;"","Anjo",""),IF(H32&lt;&gt;"","VC",""),IF(I32&lt;&gt;"","Gestão",""),IF(J32&lt;&gt;"","Conselho",""),IF(K32&lt;&gt;"","Buscapé","")))</f>
        <v>Anjo · Conselho</v>
      </c>
      <c r="O32" s="5"/>
      <c r="P32" t="s">
        <v>44</v>
      </c>
      <c r="Q32" t="s">
        <v>306</v>
      </c>
      <c r="R32" t="s">
        <v>307</v>
      </c>
    </row>
    <row r="33" spans="1:18" x14ac:dyDescent="0.2">
      <c r="A33" s="5">
        <v>320</v>
      </c>
      <c r="B33" s="5" t="s">
        <v>25</v>
      </c>
      <c r="C33" s="5"/>
      <c r="D33" t="s">
        <v>115</v>
      </c>
      <c r="F33" s="5"/>
      <c r="G33" s="5"/>
      <c r="H33" s="5" t="s">
        <v>25</v>
      </c>
      <c r="I33" s="5"/>
      <c r="J33" s="5"/>
      <c r="K33" s="5"/>
      <c r="M33" s="6" t="str">
        <f>IF(L33&lt;&gt;"",L33,_xlfn.TEXTJOIN(" · ",TRUE,IF(F33&lt;&gt;"","Fundador",""),IF(G33&lt;&gt;"","Anjo",""),IF(H33&lt;&gt;"","VC",""),IF(I33&lt;&gt;"","Gestão",""),IF(J33&lt;&gt;"","Conselho",""),IF(K33&lt;&gt;"","Buscapé","")))</f>
        <v>VC</v>
      </c>
      <c r="O33" s="5">
        <v>2023</v>
      </c>
      <c r="P33" t="s">
        <v>44</v>
      </c>
      <c r="Q33" t="s">
        <v>116</v>
      </c>
      <c r="R33" t="s">
        <v>117</v>
      </c>
    </row>
    <row r="34" spans="1:18" x14ac:dyDescent="0.2">
      <c r="A34" s="5">
        <v>330</v>
      </c>
      <c r="B34" s="5" t="s">
        <v>25</v>
      </c>
      <c r="C34" s="5"/>
      <c r="D34" t="s">
        <v>79</v>
      </c>
      <c r="F34" s="5"/>
      <c r="G34" s="5"/>
      <c r="H34" s="5" t="s">
        <v>25</v>
      </c>
      <c r="I34" s="5"/>
      <c r="J34" s="5"/>
      <c r="K34" s="5"/>
      <c r="M34" s="6" t="str">
        <f>IF(L34&lt;&gt;"",L34,_xlfn.TEXTJOIN(" · ",TRUE,IF(F34&lt;&gt;"","Fundador",""),IF(G34&lt;&gt;"","Anjo",""),IF(H34&lt;&gt;"","VC",""),IF(I34&lt;&gt;"","Gestão",""),IF(J34&lt;&gt;"","Conselho",""),IF(K34&lt;&gt;"","Buscapé","")))</f>
        <v>VC</v>
      </c>
      <c r="O34" s="5">
        <v>2026</v>
      </c>
      <c r="R34" t="s">
        <v>80</v>
      </c>
    </row>
    <row r="35" spans="1:18" x14ac:dyDescent="0.2">
      <c r="A35" s="5">
        <v>340</v>
      </c>
      <c r="B35" s="5" t="s">
        <v>25</v>
      </c>
      <c r="C35" s="5"/>
      <c r="D35" t="s">
        <v>81</v>
      </c>
      <c r="F35" s="5"/>
      <c r="G35" s="5"/>
      <c r="H35" s="5" t="s">
        <v>25</v>
      </c>
      <c r="I35" s="5"/>
      <c r="J35" s="5"/>
      <c r="K35" s="5"/>
      <c r="M35" s="6" t="str">
        <f>IF(L35&lt;&gt;"",L35,_xlfn.TEXTJOIN(" · ",TRUE,IF(F35&lt;&gt;"","Fundador",""),IF(G35&lt;&gt;"","Anjo",""),IF(H35&lt;&gt;"","VC",""),IF(I35&lt;&gt;"","Gestão",""),IF(J35&lt;&gt;"","Conselho",""),IF(K35&lt;&gt;"","Buscapé","")))</f>
        <v>VC</v>
      </c>
      <c r="O35" s="5">
        <v>2025</v>
      </c>
      <c r="P35" t="s">
        <v>44</v>
      </c>
      <c r="Q35" t="s">
        <v>82</v>
      </c>
      <c r="R35" t="s">
        <v>83</v>
      </c>
    </row>
    <row r="36" spans="1:18" x14ac:dyDescent="0.2">
      <c r="A36" s="5">
        <v>350</v>
      </c>
      <c r="B36" s="5" t="s">
        <v>25</v>
      </c>
      <c r="C36" s="5"/>
      <c r="D36" t="s">
        <v>84</v>
      </c>
      <c r="F36" s="5"/>
      <c r="G36" s="5"/>
      <c r="H36" s="5" t="s">
        <v>25</v>
      </c>
      <c r="I36" s="5"/>
      <c r="J36" s="5"/>
      <c r="K36" s="5"/>
      <c r="M36" s="6" t="str">
        <f>IF(L36&lt;&gt;"",L36,_xlfn.TEXTJOIN(" · ",TRUE,IF(F36&lt;&gt;"","Fundador",""),IF(G36&lt;&gt;"","Anjo",""),IF(H36&lt;&gt;"","VC",""),IF(I36&lt;&gt;"","Gestão",""),IF(J36&lt;&gt;"","Conselho",""),IF(K36&lt;&gt;"","Buscapé","")))</f>
        <v>VC</v>
      </c>
      <c r="O36" s="5">
        <v>2025</v>
      </c>
      <c r="P36" t="s">
        <v>44</v>
      </c>
      <c r="Q36" t="s">
        <v>85</v>
      </c>
      <c r="R36" t="s">
        <v>86</v>
      </c>
    </row>
    <row r="37" spans="1:18" x14ac:dyDescent="0.2">
      <c r="A37" s="5">
        <v>360</v>
      </c>
      <c r="B37" s="5" t="s">
        <v>25</v>
      </c>
      <c r="C37" s="5"/>
      <c r="D37" t="s">
        <v>87</v>
      </c>
      <c r="F37" s="5"/>
      <c r="G37" s="5"/>
      <c r="H37" s="5" t="s">
        <v>25</v>
      </c>
      <c r="I37" s="5"/>
      <c r="J37" s="5"/>
      <c r="K37" s="5"/>
      <c r="M37" s="6" t="str">
        <f>IF(L37&lt;&gt;"",L37,_xlfn.TEXTJOIN(" · ",TRUE,IF(F37&lt;&gt;"","Fundador",""),IF(G37&lt;&gt;"","Anjo",""),IF(H37&lt;&gt;"","VC",""),IF(I37&lt;&gt;"","Gestão",""),IF(J37&lt;&gt;"","Conselho",""),IF(K37&lt;&gt;"","Buscapé","")))</f>
        <v>VC</v>
      </c>
      <c r="O37" s="5">
        <v>2025</v>
      </c>
      <c r="P37" t="s">
        <v>44</v>
      </c>
      <c r="Q37" t="s">
        <v>88</v>
      </c>
      <c r="R37" t="s">
        <v>89</v>
      </c>
    </row>
    <row r="38" spans="1:18" x14ac:dyDescent="0.2">
      <c r="A38" s="5">
        <v>370</v>
      </c>
      <c r="B38" s="5" t="s">
        <v>25</v>
      </c>
      <c r="C38" s="5"/>
      <c r="D38" t="s">
        <v>90</v>
      </c>
      <c r="F38" s="5"/>
      <c r="G38" s="5"/>
      <c r="H38" s="5" t="s">
        <v>25</v>
      </c>
      <c r="I38" s="5"/>
      <c r="J38" s="5"/>
      <c r="K38" s="5"/>
      <c r="M38" s="6" t="str">
        <f>IF(L38&lt;&gt;"",L38,_xlfn.TEXTJOIN(" · ",TRUE,IF(F38&lt;&gt;"","Fundador",""),IF(G38&lt;&gt;"","Anjo",""),IF(H38&lt;&gt;"","VC",""),IF(I38&lt;&gt;"","Gestão",""),IF(J38&lt;&gt;"","Conselho",""),IF(K38&lt;&gt;"","Buscapé","")))</f>
        <v>VC</v>
      </c>
      <c r="O38" s="5">
        <v>2025</v>
      </c>
      <c r="P38" t="s">
        <v>44</v>
      </c>
      <c r="Q38" t="s">
        <v>91</v>
      </c>
      <c r="R38" t="s">
        <v>92</v>
      </c>
    </row>
    <row r="39" spans="1:18" x14ac:dyDescent="0.2">
      <c r="A39" s="5">
        <v>380</v>
      </c>
      <c r="B39" s="5" t="s">
        <v>25</v>
      </c>
      <c r="C39" s="5"/>
      <c r="D39" t="s">
        <v>98</v>
      </c>
      <c r="F39" s="5"/>
      <c r="G39" s="5"/>
      <c r="H39" s="5" t="s">
        <v>25</v>
      </c>
      <c r="I39" s="5"/>
      <c r="J39" s="5"/>
      <c r="K39" s="5"/>
      <c r="M39" s="6" t="str">
        <f>IF(L39&lt;&gt;"",L39,_xlfn.TEXTJOIN(" · ",TRUE,IF(F39&lt;&gt;"","Fundador",""),IF(G39&lt;&gt;"","Anjo",""),IF(H39&lt;&gt;"","VC",""),IF(I39&lt;&gt;"","Gestão",""),IF(J39&lt;&gt;"","Conselho",""),IF(K39&lt;&gt;"","Buscapé","")))</f>
        <v>VC</v>
      </c>
      <c r="O39" s="5">
        <v>2025</v>
      </c>
      <c r="P39" t="s">
        <v>44</v>
      </c>
      <c r="Q39" t="s">
        <v>99</v>
      </c>
      <c r="R39" t="s">
        <v>100</v>
      </c>
    </row>
    <row r="40" spans="1:18" x14ac:dyDescent="0.2">
      <c r="A40" s="5">
        <v>390</v>
      </c>
      <c r="B40" s="5" t="s">
        <v>25</v>
      </c>
      <c r="C40" s="5"/>
      <c r="D40" t="s">
        <v>107</v>
      </c>
      <c r="F40" s="5"/>
      <c r="G40" s="5"/>
      <c r="H40" s="5" t="s">
        <v>25</v>
      </c>
      <c r="I40" s="5"/>
      <c r="J40" s="5"/>
      <c r="K40" s="5"/>
      <c r="M40" s="6" t="str">
        <f>IF(L40&lt;&gt;"",L40,_xlfn.TEXTJOIN(" · ",TRUE,IF(F40&lt;&gt;"","Fundador",""),IF(G40&lt;&gt;"","Anjo",""),IF(H40&lt;&gt;"","VC",""),IF(I40&lt;&gt;"","Gestão",""),IF(J40&lt;&gt;"","Conselho",""),IF(K40&lt;&gt;"","Buscapé","")))</f>
        <v>VC</v>
      </c>
      <c r="O40" s="5">
        <v>2024</v>
      </c>
      <c r="P40" t="s">
        <v>44</v>
      </c>
      <c r="Q40" t="s">
        <v>108</v>
      </c>
      <c r="R40" t="s">
        <v>109</v>
      </c>
    </row>
    <row r="41" spans="1:18" x14ac:dyDescent="0.2">
      <c r="A41" s="5">
        <v>400</v>
      </c>
      <c r="B41" s="5" t="s">
        <v>25</v>
      </c>
      <c r="C41" s="5"/>
      <c r="D41" t="s">
        <v>110</v>
      </c>
      <c r="F41" s="5"/>
      <c r="G41" s="5"/>
      <c r="H41" s="5" t="s">
        <v>25</v>
      </c>
      <c r="I41" s="5"/>
      <c r="J41" s="5"/>
      <c r="K41" s="5"/>
      <c r="M41" s="6" t="str">
        <f>IF(L41&lt;&gt;"",L41,_xlfn.TEXTJOIN(" · ",TRUE,IF(F41&lt;&gt;"","Fundador",""),IF(G41&lt;&gt;"","Anjo",""),IF(H41&lt;&gt;"","VC",""),IF(I41&lt;&gt;"","Gestão",""),IF(J41&lt;&gt;"","Conselho",""),IF(K41&lt;&gt;"","Buscapé","")))</f>
        <v>VC</v>
      </c>
      <c r="O41" s="5">
        <v>2024</v>
      </c>
      <c r="P41" t="s">
        <v>44</v>
      </c>
      <c r="Q41" t="s">
        <v>111</v>
      </c>
      <c r="R41" t="s">
        <v>112</v>
      </c>
    </row>
    <row r="42" spans="1:18" x14ac:dyDescent="0.2">
      <c r="A42" s="5">
        <v>410</v>
      </c>
      <c r="B42" s="5" t="s">
        <v>25</v>
      </c>
      <c r="C42" s="5"/>
      <c r="D42" t="s">
        <v>113</v>
      </c>
      <c r="F42" s="5"/>
      <c r="G42" s="5"/>
      <c r="H42" s="5" t="s">
        <v>25</v>
      </c>
      <c r="I42" s="5"/>
      <c r="J42" s="5"/>
      <c r="K42" s="5"/>
      <c r="M42" s="6" t="str">
        <f>IF(L42&lt;&gt;"",L42,_xlfn.TEXTJOIN(" · ",TRUE,IF(F42&lt;&gt;"","Fundador",""),IF(G42&lt;&gt;"","Anjo",""),IF(H42&lt;&gt;"","VC",""),IF(I42&lt;&gt;"","Gestão",""),IF(J42&lt;&gt;"","Conselho",""),IF(K42&lt;&gt;"","Buscapé","")))</f>
        <v>VC</v>
      </c>
      <c r="O42" s="5">
        <v>2023</v>
      </c>
      <c r="P42" t="s">
        <v>44</v>
      </c>
      <c r="R42" t="s">
        <v>114</v>
      </c>
    </row>
    <row r="43" spans="1:18" x14ac:dyDescent="0.2">
      <c r="A43" s="5">
        <v>420</v>
      </c>
      <c r="B43" s="5" t="s">
        <v>25</v>
      </c>
      <c r="C43" s="5"/>
      <c r="D43" t="s">
        <v>118</v>
      </c>
      <c r="F43" s="5"/>
      <c r="G43" s="5"/>
      <c r="H43" s="5" t="s">
        <v>25</v>
      </c>
      <c r="I43" s="5"/>
      <c r="J43" s="5"/>
      <c r="K43" s="5"/>
      <c r="M43" s="6" t="str">
        <f>IF(L43&lt;&gt;"",L43,_xlfn.TEXTJOIN(" · ",TRUE,IF(F43&lt;&gt;"","Fundador",""),IF(G43&lt;&gt;"","Anjo",""),IF(H43&lt;&gt;"","VC",""),IF(I43&lt;&gt;"","Gestão",""),IF(J43&lt;&gt;"","Conselho",""),IF(K43&lt;&gt;"","Buscapé","")))</f>
        <v>VC</v>
      </c>
      <c r="O43" s="5">
        <v>2023</v>
      </c>
      <c r="P43" t="s">
        <v>44</v>
      </c>
      <c r="Q43" t="s">
        <v>119</v>
      </c>
      <c r="R43" t="s">
        <v>120</v>
      </c>
    </row>
    <row r="44" spans="1:18" x14ac:dyDescent="0.2">
      <c r="A44" s="5">
        <v>430</v>
      </c>
      <c r="B44" s="5" t="s">
        <v>25</v>
      </c>
      <c r="C44" s="5"/>
      <c r="D44" t="s">
        <v>121</v>
      </c>
      <c r="F44" s="5"/>
      <c r="G44" s="5"/>
      <c r="H44" s="5" t="s">
        <v>25</v>
      </c>
      <c r="I44" s="5"/>
      <c r="J44" s="5"/>
      <c r="K44" s="5"/>
      <c r="M44" s="6" t="str">
        <f>IF(L44&lt;&gt;"",L44,_xlfn.TEXTJOIN(" · ",TRUE,IF(F44&lt;&gt;"","Fundador",""),IF(G44&lt;&gt;"","Anjo",""),IF(H44&lt;&gt;"","VC",""),IF(I44&lt;&gt;"","Gestão",""),IF(J44&lt;&gt;"","Conselho",""),IF(K44&lt;&gt;"","Buscapé","")))</f>
        <v>VC</v>
      </c>
      <c r="O44" s="5">
        <v>2023</v>
      </c>
      <c r="P44" t="s">
        <v>44</v>
      </c>
      <c r="R44" t="s">
        <v>122</v>
      </c>
    </row>
    <row r="45" spans="1:18" x14ac:dyDescent="0.2">
      <c r="A45" s="5">
        <v>440</v>
      </c>
      <c r="B45" s="5" t="s">
        <v>25</v>
      </c>
      <c r="C45" s="5"/>
      <c r="D45" t="s">
        <v>123</v>
      </c>
      <c r="F45" s="5"/>
      <c r="G45" s="5"/>
      <c r="H45" s="5" t="s">
        <v>25</v>
      </c>
      <c r="I45" s="5"/>
      <c r="J45" s="5"/>
      <c r="K45" s="5"/>
      <c r="M45" s="6" t="str">
        <f>IF(L45&lt;&gt;"",L45,_xlfn.TEXTJOIN(" · ",TRUE,IF(F45&lt;&gt;"","Fundador",""),IF(G45&lt;&gt;"","Anjo",""),IF(H45&lt;&gt;"","VC",""),IF(I45&lt;&gt;"","Gestão",""),IF(J45&lt;&gt;"","Conselho",""),IF(K45&lt;&gt;"","Buscapé","")))</f>
        <v>VC</v>
      </c>
      <c r="O45" s="5">
        <v>2023</v>
      </c>
      <c r="P45" t="s">
        <v>44</v>
      </c>
      <c r="Q45" t="s">
        <v>124</v>
      </c>
      <c r="R45" t="s">
        <v>125</v>
      </c>
    </row>
    <row r="46" spans="1:18" x14ac:dyDescent="0.2">
      <c r="A46" s="5">
        <v>450</v>
      </c>
      <c r="B46" s="5" t="s">
        <v>25</v>
      </c>
      <c r="C46" s="5"/>
      <c r="D46" t="s">
        <v>126</v>
      </c>
      <c r="F46" s="5"/>
      <c r="G46" s="5"/>
      <c r="H46" s="5" t="s">
        <v>25</v>
      </c>
      <c r="I46" s="5"/>
      <c r="J46" s="5"/>
      <c r="K46" s="5"/>
      <c r="M46" s="6" t="str">
        <f>IF(L46&lt;&gt;"",L46,_xlfn.TEXTJOIN(" · ",TRUE,IF(F46&lt;&gt;"","Fundador",""),IF(G46&lt;&gt;"","Anjo",""),IF(H46&lt;&gt;"","VC",""),IF(I46&lt;&gt;"","Gestão",""),IF(J46&lt;&gt;"","Conselho",""),IF(K46&lt;&gt;"","Buscapé","")))</f>
        <v>VC</v>
      </c>
      <c r="O46" s="5">
        <v>2023</v>
      </c>
      <c r="P46" t="s">
        <v>44</v>
      </c>
      <c r="Q46" t="s">
        <v>127</v>
      </c>
      <c r="R46" t="s">
        <v>128</v>
      </c>
    </row>
    <row r="47" spans="1:18" x14ac:dyDescent="0.2">
      <c r="A47" s="5">
        <v>460</v>
      </c>
      <c r="B47" s="5" t="s">
        <v>25</v>
      </c>
      <c r="C47" s="5"/>
      <c r="D47" t="s">
        <v>129</v>
      </c>
      <c r="F47" s="5"/>
      <c r="G47" s="5"/>
      <c r="H47" s="5" t="s">
        <v>25</v>
      </c>
      <c r="I47" s="5"/>
      <c r="J47" s="5"/>
      <c r="K47" s="5"/>
      <c r="M47" s="6" t="str">
        <f>IF(L47&lt;&gt;"",L47,_xlfn.TEXTJOIN(" · ",TRUE,IF(F47&lt;&gt;"","Fundador",""),IF(G47&lt;&gt;"","Anjo",""),IF(H47&lt;&gt;"","VC",""),IF(I47&lt;&gt;"","Gestão",""),IF(J47&lt;&gt;"","Conselho",""),IF(K47&lt;&gt;"","Buscapé","")))</f>
        <v>VC</v>
      </c>
      <c r="O47" s="5">
        <v>2023</v>
      </c>
      <c r="P47" t="s">
        <v>44</v>
      </c>
      <c r="Q47" t="s">
        <v>130</v>
      </c>
      <c r="R47" t="s">
        <v>131</v>
      </c>
    </row>
    <row r="48" spans="1:18" x14ac:dyDescent="0.2">
      <c r="A48" s="5">
        <v>470</v>
      </c>
      <c r="B48" s="5" t="s">
        <v>25</v>
      </c>
      <c r="C48" s="5"/>
      <c r="D48" t="s">
        <v>132</v>
      </c>
      <c r="F48" s="5"/>
      <c r="G48" s="5"/>
      <c r="H48" s="5" t="s">
        <v>25</v>
      </c>
      <c r="I48" s="5"/>
      <c r="J48" s="5"/>
      <c r="K48" s="5"/>
      <c r="M48" s="6" t="str">
        <f>IF(L48&lt;&gt;"",L48,_xlfn.TEXTJOIN(" · ",TRUE,IF(F48&lt;&gt;"","Fundador",""),IF(G48&lt;&gt;"","Anjo",""),IF(H48&lt;&gt;"","VC",""),IF(I48&lt;&gt;"","Gestão",""),IF(J48&lt;&gt;"","Conselho",""),IF(K48&lt;&gt;"","Buscapé","")))</f>
        <v>VC</v>
      </c>
      <c r="O48" s="5">
        <v>2023</v>
      </c>
      <c r="P48" t="s">
        <v>44</v>
      </c>
      <c r="R48" t="s">
        <v>133</v>
      </c>
    </row>
    <row r="49" spans="1:24" x14ac:dyDescent="0.2">
      <c r="A49" s="5">
        <v>480</v>
      </c>
      <c r="B49" s="5" t="s">
        <v>25</v>
      </c>
      <c r="C49" s="5"/>
      <c r="D49" t="s">
        <v>134</v>
      </c>
      <c r="F49" s="5"/>
      <c r="G49" s="5"/>
      <c r="H49" s="5" t="s">
        <v>25</v>
      </c>
      <c r="I49" s="5"/>
      <c r="J49" s="5"/>
      <c r="K49" s="5"/>
      <c r="M49" s="6" t="str">
        <f>IF(L49&lt;&gt;"",L49,_xlfn.TEXTJOIN(" · ",TRUE,IF(F49&lt;&gt;"","Fundador",""),IF(G49&lt;&gt;"","Anjo",""),IF(H49&lt;&gt;"","VC",""),IF(I49&lt;&gt;"","Gestão",""),IF(J49&lt;&gt;"","Conselho",""),IF(K49&lt;&gt;"","Buscapé","")))</f>
        <v>VC</v>
      </c>
      <c r="O49" s="5">
        <v>2022</v>
      </c>
      <c r="P49" t="s">
        <v>44</v>
      </c>
      <c r="R49" t="s">
        <v>135</v>
      </c>
    </row>
    <row r="50" spans="1:24" x14ac:dyDescent="0.2">
      <c r="A50" s="5">
        <v>490</v>
      </c>
      <c r="B50" s="5" t="s">
        <v>25</v>
      </c>
      <c r="C50" s="5"/>
      <c r="D50" t="s">
        <v>136</v>
      </c>
      <c r="F50" s="5"/>
      <c r="G50" s="5"/>
      <c r="H50" s="5"/>
      <c r="I50" s="5" t="s">
        <v>25</v>
      </c>
      <c r="J50" s="5"/>
      <c r="K50" s="5"/>
      <c r="L50" t="s">
        <v>137</v>
      </c>
      <c r="M50" s="6" t="str">
        <f>IF(L50&lt;&gt;"",L50,_xlfn.TEXTJOIN(" · ",TRUE,IF(F50&lt;&gt;"","Fundador",""),IF(G50&lt;&gt;"","Anjo",""),IF(H50&lt;&gt;"","VC",""),IF(I50&lt;&gt;"","Gestão",""),IF(J50&lt;&gt;"","Conselho",""),IF(K50&lt;&gt;"","Buscapé","")))</f>
        <v>Sócio e executivo</v>
      </c>
      <c r="O50" s="5">
        <v>2022</v>
      </c>
      <c r="R50" t="s">
        <v>138</v>
      </c>
    </row>
    <row r="51" spans="1:24" x14ac:dyDescent="0.2">
      <c r="A51" s="5">
        <v>500</v>
      </c>
      <c r="B51" s="5" t="s">
        <v>25</v>
      </c>
      <c r="C51" s="5"/>
      <c r="D51" t="s">
        <v>146</v>
      </c>
      <c r="F51" s="5"/>
      <c r="G51" s="5"/>
      <c r="H51" s="5" t="s">
        <v>25</v>
      </c>
      <c r="I51" s="5"/>
      <c r="J51" s="5"/>
      <c r="K51" s="5"/>
      <c r="M51" s="6" t="str">
        <f>IF(L51&lt;&gt;"",L51,_xlfn.TEXTJOIN(" · ",TRUE,IF(F51&lt;&gt;"","Fundador",""),IF(G51&lt;&gt;"","Anjo",""),IF(H51&lt;&gt;"","VC",""),IF(I51&lt;&gt;"","Gestão",""),IF(J51&lt;&gt;"","Conselho",""),IF(K51&lt;&gt;"","Buscapé","")))</f>
        <v>VC</v>
      </c>
      <c r="O51" s="5">
        <v>2020</v>
      </c>
      <c r="P51" t="s">
        <v>147</v>
      </c>
      <c r="R51" t="s">
        <v>148</v>
      </c>
    </row>
    <row r="52" spans="1:24" x14ac:dyDescent="0.2">
      <c r="A52" s="5">
        <v>510</v>
      </c>
      <c r="B52" s="5" t="s">
        <v>25</v>
      </c>
      <c r="C52" s="5"/>
      <c r="D52" t="s">
        <v>158</v>
      </c>
      <c r="F52" s="5"/>
      <c r="G52" s="5"/>
      <c r="H52" s="5" t="s">
        <v>25</v>
      </c>
      <c r="I52" s="5"/>
      <c r="J52" s="5"/>
      <c r="K52" s="5"/>
      <c r="M52" s="6" t="str">
        <f>IF(L52&lt;&gt;"",L52,_xlfn.TEXTJOIN(" · ",TRUE,IF(F52&lt;&gt;"","Fundador",""),IF(G52&lt;&gt;"","Anjo",""),IF(H52&lt;&gt;"","VC",""),IF(I52&lt;&gt;"","Gestão",""),IF(J52&lt;&gt;"","Conselho",""),IF(K52&lt;&gt;"","Buscapé","")))</f>
        <v>VC</v>
      </c>
      <c r="O52" s="5">
        <v>2019</v>
      </c>
      <c r="P52" t="s">
        <v>147</v>
      </c>
      <c r="Q52" t="s">
        <v>159</v>
      </c>
      <c r="R52" t="s">
        <v>160</v>
      </c>
    </row>
    <row r="53" spans="1:24" x14ac:dyDescent="0.2">
      <c r="A53" s="5">
        <v>520</v>
      </c>
      <c r="B53" s="5" t="s">
        <v>25</v>
      </c>
      <c r="C53" s="5"/>
      <c r="D53" t="s">
        <v>164</v>
      </c>
      <c r="F53" s="5"/>
      <c r="G53" s="5"/>
      <c r="H53" s="5" t="s">
        <v>25</v>
      </c>
      <c r="I53" s="5"/>
      <c r="J53" s="5"/>
      <c r="K53" s="5"/>
      <c r="M53" s="6" t="str">
        <f>IF(L53&lt;&gt;"",L53,_xlfn.TEXTJOIN(" · ",TRUE,IF(F53&lt;&gt;"","Fundador",""),IF(G53&lt;&gt;"","Anjo",""),IF(H53&lt;&gt;"","VC",""),IF(I53&lt;&gt;"","Gestão",""),IF(J53&lt;&gt;"","Conselho",""),IF(K53&lt;&gt;"","Buscapé","")))</f>
        <v>VC</v>
      </c>
      <c r="O53" s="5">
        <v>2019</v>
      </c>
      <c r="P53" t="s">
        <v>44</v>
      </c>
      <c r="Q53" t="s">
        <v>165</v>
      </c>
      <c r="R53" t="s">
        <v>166</v>
      </c>
    </row>
    <row r="54" spans="1:24" x14ac:dyDescent="0.2">
      <c r="A54" s="5">
        <v>530</v>
      </c>
      <c r="B54" s="5" t="s">
        <v>25</v>
      </c>
      <c r="C54" s="5"/>
      <c r="D54" t="s">
        <v>167</v>
      </c>
      <c r="F54" s="5"/>
      <c r="G54" s="5"/>
      <c r="H54" s="5" t="s">
        <v>25</v>
      </c>
      <c r="I54" s="5"/>
      <c r="J54" s="5"/>
      <c r="K54" s="5"/>
      <c r="M54" s="6" t="str">
        <f>IF(L54&lt;&gt;"",L54,_xlfn.TEXTJOIN(" · ",TRUE,IF(F54&lt;&gt;"","Fundador",""),IF(G54&lt;&gt;"","Anjo",""),IF(H54&lt;&gt;"","VC",""),IF(I54&lt;&gt;"","Gestão",""),IF(J54&lt;&gt;"","Conselho",""),IF(K54&lt;&gt;"","Buscapé","")))</f>
        <v>VC</v>
      </c>
      <c r="O54" s="5">
        <v>2019</v>
      </c>
      <c r="P54" t="s">
        <v>44</v>
      </c>
      <c r="Q54" t="s">
        <v>168</v>
      </c>
      <c r="R54" t="s">
        <v>169</v>
      </c>
    </row>
    <row r="55" spans="1:24" x14ac:dyDescent="0.2">
      <c r="A55" s="5">
        <v>540</v>
      </c>
      <c r="B55" s="5" t="s">
        <v>25</v>
      </c>
      <c r="C55" s="5"/>
      <c r="D55" t="s">
        <v>170</v>
      </c>
      <c r="F55" s="5"/>
      <c r="G55" s="5"/>
      <c r="H55" s="5" t="s">
        <v>25</v>
      </c>
      <c r="I55" s="5"/>
      <c r="J55" s="5"/>
      <c r="K55" s="5"/>
      <c r="M55" s="6" t="str">
        <f>IF(L55&lt;&gt;"",L55,_xlfn.TEXTJOIN(" · ",TRUE,IF(F55&lt;&gt;"","Fundador",""),IF(G55&lt;&gt;"","Anjo",""),IF(H55&lt;&gt;"","VC",""),IF(I55&lt;&gt;"","Gestão",""),IF(J55&lt;&gt;"","Conselho",""),IF(K55&lt;&gt;"","Buscapé","")))</f>
        <v>VC</v>
      </c>
      <c r="O55" s="5">
        <v>2018</v>
      </c>
      <c r="P55" t="s">
        <v>171</v>
      </c>
      <c r="Q55" t="s">
        <v>172</v>
      </c>
      <c r="R55" t="s">
        <v>173</v>
      </c>
      <c r="V55" t="s">
        <v>174</v>
      </c>
      <c r="W55" t="s">
        <v>175</v>
      </c>
      <c r="X55" t="s">
        <v>176</v>
      </c>
    </row>
    <row r="56" spans="1:24" x14ac:dyDescent="0.2">
      <c r="A56" s="5">
        <v>550</v>
      </c>
      <c r="B56" s="5" t="s">
        <v>25</v>
      </c>
      <c r="C56" s="5"/>
      <c r="D56" t="s">
        <v>177</v>
      </c>
      <c r="F56" s="5"/>
      <c r="G56" s="5"/>
      <c r="H56" s="5"/>
      <c r="I56" s="5"/>
      <c r="J56" s="5" t="s">
        <v>25</v>
      </c>
      <c r="K56" s="5"/>
      <c r="M56" s="6" t="str">
        <f>IF(L56&lt;&gt;"",L56,_xlfn.TEXTJOIN(" · ",TRUE,IF(F56&lt;&gt;"","Fundador",""),IF(G56&lt;&gt;"","Anjo",""),IF(H56&lt;&gt;"","VC",""),IF(I56&lt;&gt;"","Gestão",""),IF(J56&lt;&gt;"","Conselho",""),IF(K56&lt;&gt;"","Buscapé","")))</f>
        <v>Conselho</v>
      </c>
      <c r="O56" s="5">
        <v>2017</v>
      </c>
      <c r="Q56" t="s">
        <v>178</v>
      </c>
      <c r="R56" t="s">
        <v>179</v>
      </c>
    </row>
    <row r="57" spans="1:24" x14ac:dyDescent="0.2">
      <c r="A57" s="5">
        <v>560</v>
      </c>
      <c r="B57" s="5" t="s">
        <v>25</v>
      </c>
      <c r="C57" s="5"/>
      <c r="D57" t="s">
        <v>180</v>
      </c>
      <c r="F57" s="5"/>
      <c r="G57" s="5"/>
      <c r="H57" s="5" t="s">
        <v>25</v>
      </c>
      <c r="I57" s="5"/>
      <c r="J57" s="5"/>
      <c r="K57" s="5"/>
      <c r="M57" s="6" t="str">
        <f>IF(L57&lt;&gt;"",L57,_xlfn.TEXTJOIN(" · ",TRUE,IF(F57&lt;&gt;"","Fundador",""),IF(G57&lt;&gt;"","Anjo",""),IF(H57&lt;&gt;"","VC",""),IF(I57&lt;&gt;"","Gestão",""),IF(J57&lt;&gt;"","Conselho",""),IF(K57&lt;&gt;"","Buscapé","")))</f>
        <v>VC</v>
      </c>
      <c r="O57" s="5">
        <v>2016</v>
      </c>
      <c r="P57" t="s">
        <v>181</v>
      </c>
      <c r="R57" t="s">
        <v>182</v>
      </c>
    </row>
    <row r="58" spans="1:24" x14ac:dyDescent="0.2">
      <c r="A58" s="5">
        <v>620</v>
      </c>
      <c r="B58" s="5" t="s">
        <v>25</v>
      </c>
      <c r="C58" s="5"/>
      <c r="D58" t="s">
        <v>192</v>
      </c>
      <c r="F58" s="5"/>
      <c r="G58" s="5"/>
      <c r="H58" s="5"/>
      <c r="I58" s="5"/>
      <c r="J58" s="5"/>
      <c r="K58" s="5" t="s">
        <v>25</v>
      </c>
      <c r="M58" s="6" t="str">
        <f>IF(L58&lt;&gt;"",L58,_xlfn.TEXTJOIN(" · ",TRUE,IF(F58&lt;&gt;"","Fundador",""),IF(G58&lt;&gt;"","Anjo",""),IF(H58&lt;&gt;"","VC",""),IF(I58&lt;&gt;"","Gestão",""),IF(J58&lt;&gt;"","Conselho",""),IF(K58&lt;&gt;"","Buscapé","")))</f>
        <v>Buscapé</v>
      </c>
      <c r="O58" s="5">
        <v>2014</v>
      </c>
      <c r="Q58" t="s">
        <v>193</v>
      </c>
      <c r="R58" t="s">
        <v>194</v>
      </c>
    </row>
    <row r="59" spans="1:24" x14ac:dyDescent="0.2">
      <c r="A59" s="5">
        <v>640</v>
      </c>
      <c r="B59" s="5" t="s">
        <v>25</v>
      </c>
      <c r="C59" s="5"/>
      <c r="D59" t="s">
        <v>201</v>
      </c>
      <c r="F59" s="5"/>
      <c r="G59" s="5"/>
      <c r="H59" s="5"/>
      <c r="I59" s="5"/>
      <c r="J59" s="5" t="s">
        <v>25</v>
      </c>
      <c r="K59" s="5"/>
      <c r="M59" s="6" t="str">
        <f>IF(L59&lt;&gt;"",L59,_xlfn.TEXTJOIN(" · ",TRUE,IF(F59&lt;&gt;"","Fundador",""),IF(G59&lt;&gt;"","Anjo",""),IF(H59&lt;&gt;"","VC",""),IF(I59&lt;&gt;"","Gestão",""),IF(J59&lt;&gt;"","Conselho",""),IF(K59&lt;&gt;"","Buscapé","")))</f>
        <v>Conselho</v>
      </c>
      <c r="O59" s="5">
        <v>2014</v>
      </c>
      <c r="Q59" t="s">
        <v>202</v>
      </c>
      <c r="R59" t="s">
        <v>203</v>
      </c>
    </row>
    <row r="60" spans="1:24" x14ac:dyDescent="0.2">
      <c r="A60" s="5">
        <v>720</v>
      </c>
      <c r="B60" s="5"/>
      <c r="C60" s="5"/>
      <c r="D60" s="7" t="s">
        <v>216</v>
      </c>
      <c r="F60" s="5"/>
      <c r="G60" s="5"/>
      <c r="H60" s="5"/>
      <c r="I60" s="5"/>
      <c r="J60" s="5"/>
      <c r="K60" s="5" t="s">
        <v>25</v>
      </c>
      <c r="M60" s="6" t="str">
        <f>IF(L60&lt;&gt;"",L60,_xlfn.TEXTJOIN(" · ",TRUE,IF(F60&lt;&gt;"","Fundador",""),IF(G60&lt;&gt;"","Anjo",""),IF(H60&lt;&gt;"","VC",""),IF(I60&lt;&gt;"","Gestão",""),IF(J60&lt;&gt;"","Conselho",""),IF(K60&lt;&gt;"","Buscapé","")))</f>
        <v>Buscapé</v>
      </c>
      <c r="O60" s="5">
        <v>2013</v>
      </c>
    </row>
    <row r="61" spans="1:24" x14ac:dyDescent="0.2">
      <c r="A61" s="5">
        <v>730</v>
      </c>
      <c r="B61" s="5" t="s">
        <v>25</v>
      </c>
      <c r="C61" s="5"/>
      <c r="D61" t="s">
        <v>217</v>
      </c>
      <c r="F61" s="5"/>
      <c r="G61" s="5"/>
      <c r="H61" s="5"/>
      <c r="I61" s="5"/>
      <c r="J61" s="5"/>
      <c r="K61" s="5" t="s">
        <v>25</v>
      </c>
      <c r="M61" s="6" t="str">
        <f>IF(L61&lt;&gt;"",L61,_xlfn.TEXTJOIN(" · ",TRUE,IF(F61&lt;&gt;"","Fundador",""),IF(G61&lt;&gt;"","Anjo",""),IF(H61&lt;&gt;"","VC",""),IF(I61&lt;&gt;"","Gestão",""),IF(J61&lt;&gt;"","Conselho",""),IF(K61&lt;&gt;"","Buscapé","")))</f>
        <v>Buscapé</v>
      </c>
      <c r="O61" s="5">
        <v>2012</v>
      </c>
      <c r="Q61" t="s">
        <v>218</v>
      </c>
      <c r="R61" t="s">
        <v>219</v>
      </c>
    </row>
    <row r="62" spans="1:24" x14ac:dyDescent="0.2">
      <c r="A62" s="5">
        <v>740</v>
      </c>
      <c r="B62" s="5" t="s">
        <v>25</v>
      </c>
      <c r="C62" s="5"/>
      <c r="D62" t="s">
        <v>220</v>
      </c>
      <c r="F62" s="5"/>
      <c r="G62" s="5"/>
      <c r="H62" s="5"/>
      <c r="I62" s="5" t="s">
        <v>25</v>
      </c>
      <c r="J62" s="5"/>
      <c r="K62" s="5"/>
      <c r="L62" t="s">
        <v>371</v>
      </c>
      <c r="M62" s="6" t="str">
        <f>IF(L62&lt;&gt;"",L62,_xlfn.TEXTJOIN(" · ",TRUE,IF(F62&lt;&gt;"","Fundador",""),IF(G62&lt;&gt;"","Anjo",""),IF(H62&lt;&gt;"","VC",""),IF(I62&lt;&gt;"","Gestão",""),IF(J62&lt;&gt;"","Conselho",""),IF(K62&lt;&gt;"","Buscapé","")))</f>
        <v>Sócio de Gestora</v>
      </c>
      <c r="O62" s="5">
        <v>2012</v>
      </c>
      <c r="Q62" t="s">
        <v>221</v>
      </c>
      <c r="R62" t="s">
        <v>222</v>
      </c>
    </row>
    <row r="63" spans="1:24" x14ac:dyDescent="0.2">
      <c r="A63" s="5">
        <v>750</v>
      </c>
      <c r="B63" s="5" t="s">
        <v>25</v>
      </c>
      <c r="C63" s="5"/>
      <c r="D63" t="s">
        <v>223</v>
      </c>
      <c r="F63" s="5"/>
      <c r="G63" s="5"/>
      <c r="H63" s="5"/>
      <c r="I63" s="5"/>
      <c r="J63" s="5"/>
      <c r="K63" s="5" t="s">
        <v>25</v>
      </c>
      <c r="M63" s="6" t="str">
        <f>IF(L63&lt;&gt;"",L63,_xlfn.TEXTJOIN(" · ",TRUE,IF(F63&lt;&gt;"","Fundador",""),IF(G63&lt;&gt;"","Anjo",""),IF(H63&lt;&gt;"","VC",""),IF(I63&lt;&gt;"","Gestão",""),IF(J63&lt;&gt;"","Conselho",""),IF(K63&lt;&gt;"","Buscapé","")))</f>
        <v>Buscapé</v>
      </c>
      <c r="O63" s="5">
        <v>2012</v>
      </c>
      <c r="R63" t="s">
        <v>224</v>
      </c>
    </row>
    <row r="64" spans="1:24" x14ac:dyDescent="0.2">
      <c r="A64" s="5">
        <v>760</v>
      </c>
      <c r="B64" s="5" t="s">
        <v>25</v>
      </c>
      <c r="C64" s="5"/>
      <c r="D64" t="s">
        <v>225</v>
      </c>
      <c r="F64" s="5"/>
      <c r="G64" s="5"/>
      <c r="H64" s="5"/>
      <c r="I64" s="5"/>
      <c r="J64" s="5"/>
      <c r="K64" s="5" t="s">
        <v>25</v>
      </c>
      <c r="M64" s="6" t="str">
        <f>IF(L64&lt;&gt;"",L64,_xlfn.TEXTJOIN(" · ",TRUE,IF(F64&lt;&gt;"","Fundador",""),IF(G64&lt;&gt;"","Anjo",""),IF(H64&lt;&gt;"","VC",""),IF(I64&lt;&gt;"","Gestão",""),IF(J64&lt;&gt;"","Conselho",""),IF(K64&lt;&gt;"","Buscapé","")))</f>
        <v>Buscapé</v>
      </c>
      <c r="O64" s="5">
        <v>2011</v>
      </c>
      <c r="R64" t="s">
        <v>226</v>
      </c>
    </row>
    <row r="65" spans="1:21" x14ac:dyDescent="0.2">
      <c r="A65" s="5">
        <v>770</v>
      </c>
      <c r="B65" s="5" t="s">
        <v>25</v>
      </c>
      <c r="C65" s="5"/>
      <c r="D65" t="s">
        <v>227</v>
      </c>
      <c r="F65" s="5"/>
      <c r="G65" s="5"/>
      <c r="H65" s="5"/>
      <c r="I65" s="5"/>
      <c r="J65" s="5"/>
      <c r="K65" s="5" t="s">
        <v>25</v>
      </c>
      <c r="M65" s="6" t="str">
        <f>IF(L65&lt;&gt;"",L65,_xlfn.TEXTJOIN(" · ",TRUE,IF(F65&lt;&gt;"","Fundador",""),IF(G65&lt;&gt;"","Anjo",""),IF(H65&lt;&gt;"","VC",""),IF(I65&lt;&gt;"","Gestão",""),IF(J65&lt;&gt;"","Conselho",""),IF(K65&lt;&gt;"","Buscapé","")))</f>
        <v>Buscapé</v>
      </c>
      <c r="O65" s="5">
        <v>2011</v>
      </c>
      <c r="R65" t="s">
        <v>228</v>
      </c>
    </row>
    <row r="66" spans="1:21" x14ac:dyDescent="0.2">
      <c r="A66" s="5">
        <v>780</v>
      </c>
      <c r="B66" s="5" t="s">
        <v>25</v>
      </c>
      <c r="C66" s="5"/>
      <c r="D66" t="s">
        <v>229</v>
      </c>
      <c r="F66" s="5"/>
      <c r="G66" s="5"/>
      <c r="H66" s="5"/>
      <c r="I66" s="5"/>
      <c r="J66" s="5"/>
      <c r="K66" s="5" t="s">
        <v>25</v>
      </c>
      <c r="M66" s="6" t="str">
        <f>IF(L66&lt;&gt;"",L66,_xlfn.TEXTJOIN(" · ",TRUE,IF(F66&lt;&gt;"","Fundador",""),IF(G66&lt;&gt;"","Anjo",""),IF(H66&lt;&gt;"","VC",""),IF(I66&lt;&gt;"","Gestão",""),IF(J66&lt;&gt;"","Conselho",""),IF(K66&lt;&gt;"","Buscapé","")))</f>
        <v>Buscapé</v>
      </c>
      <c r="O66" s="5">
        <v>2011</v>
      </c>
    </row>
    <row r="67" spans="1:21" x14ac:dyDescent="0.2">
      <c r="A67" s="5">
        <v>790</v>
      </c>
      <c r="B67" s="5" t="s">
        <v>25</v>
      </c>
      <c r="C67" s="5"/>
      <c r="D67" t="s">
        <v>230</v>
      </c>
      <c r="F67" s="5"/>
      <c r="G67" s="5"/>
      <c r="H67" s="5"/>
      <c r="I67" s="5"/>
      <c r="J67" s="5"/>
      <c r="K67" s="5" t="s">
        <v>25</v>
      </c>
      <c r="M67" s="6" t="str">
        <f>IF(L67&lt;&gt;"",L67,_xlfn.TEXTJOIN(" · ",TRUE,IF(F67&lt;&gt;"","Fundador",""),IF(G67&lt;&gt;"","Anjo",""),IF(H67&lt;&gt;"","VC",""),IF(I67&lt;&gt;"","Gestão",""),IF(J67&lt;&gt;"","Conselho",""),IF(K67&lt;&gt;"","Buscapé","")))</f>
        <v>Buscapé</v>
      </c>
      <c r="O67" s="5">
        <v>2011</v>
      </c>
      <c r="Q67" t="s">
        <v>231</v>
      </c>
      <c r="R67" t="s">
        <v>232</v>
      </c>
    </row>
    <row r="68" spans="1:21" x14ac:dyDescent="0.2">
      <c r="A68" s="5">
        <v>800</v>
      </c>
      <c r="B68" s="5" t="s">
        <v>25</v>
      </c>
      <c r="C68" s="5"/>
      <c r="D68" t="s">
        <v>233</v>
      </c>
      <c r="F68" s="5"/>
      <c r="G68" s="5"/>
      <c r="H68" s="5"/>
      <c r="I68" s="5"/>
      <c r="J68" s="5"/>
      <c r="K68" s="5" t="s">
        <v>25</v>
      </c>
      <c r="M68" s="6" t="str">
        <f>IF(L68&lt;&gt;"",L68,_xlfn.TEXTJOIN(" · ",TRUE,IF(F68&lt;&gt;"","Fundador",""),IF(G68&lt;&gt;"","Anjo",""),IF(H68&lt;&gt;"","VC",""),IF(I68&lt;&gt;"","Gestão",""),IF(J68&lt;&gt;"","Conselho",""),IF(K68&lt;&gt;"","Buscapé","")))</f>
        <v>Buscapé</v>
      </c>
      <c r="O68" s="5">
        <v>2011</v>
      </c>
      <c r="Q68" t="s">
        <v>234</v>
      </c>
      <c r="R68" t="s">
        <v>235</v>
      </c>
    </row>
    <row r="69" spans="1:21" x14ac:dyDescent="0.2">
      <c r="A69" s="5">
        <v>810</v>
      </c>
      <c r="B69" s="5" t="s">
        <v>25</v>
      </c>
      <c r="C69" s="5"/>
      <c r="D69" t="s">
        <v>236</v>
      </c>
      <c r="F69" s="5"/>
      <c r="G69" s="5"/>
      <c r="H69" s="5"/>
      <c r="I69" s="5"/>
      <c r="J69" s="5"/>
      <c r="K69" s="5" t="s">
        <v>25</v>
      </c>
      <c r="M69" s="6" t="str">
        <f>IF(L69&lt;&gt;"",L69,_xlfn.TEXTJOIN(" · ",TRUE,IF(F69&lt;&gt;"","Fundador",""),IF(G69&lt;&gt;"","Anjo",""),IF(H69&lt;&gt;"","VC",""),IF(I69&lt;&gt;"","Gestão",""),IF(J69&lt;&gt;"","Conselho",""),IF(K69&lt;&gt;"","Buscapé","")))</f>
        <v>Buscapé</v>
      </c>
      <c r="O69" s="5">
        <v>2011</v>
      </c>
    </row>
    <row r="70" spans="1:21" x14ac:dyDescent="0.2">
      <c r="A70" s="5">
        <v>820</v>
      </c>
      <c r="B70" s="5" t="s">
        <v>25</v>
      </c>
      <c r="C70" s="5"/>
      <c r="D70" t="s">
        <v>237</v>
      </c>
      <c r="F70" s="5"/>
      <c r="G70" s="5"/>
      <c r="H70" s="5"/>
      <c r="I70" s="5"/>
      <c r="J70" s="5"/>
      <c r="K70" s="5" t="s">
        <v>25</v>
      </c>
      <c r="M70" s="6" t="str">
        <f>IF(L70&lt;&gt;"",L70,_xlfn.TEXTJOIN(" · ",TRUE,IF(F70&lt;&gt;"","Fundador",""),IF(G70&lt;&gt;"","Anjo",""),IF(H70&lt;&gt;"","VC",""),IF(I70&lt;&gt;"","Gestão",""),IF(J70&lt;&gt;"","Conselho",""),IF(K70&lt;&gt;"","Buscapé","")))</f>
        <v>Buscapé</v>
      </c>
      <c r="O70" s="5">
        <v>2011</v>
      </c>
    </row>
    <row r="71" spans="1:21" x14ac:dyDescent="0.2">
      <c r="A71" s="5">
        <v>830</v>
      </c>
      <c r="B71" s="5" t="s">
        <v>25</v>
      </c>
      <c r="C71" s="5"/>
      <c r="D71" t="s">
        <v>241</v>
      </c>
      <c r="F71" s="5"/>
      <c r="G71" s="5"/>
      <c r="H71" s="5"/>
      <c r="I71" s="5"/>
      <c r="J71" s="5"/>
      <c r="K71" s="5" t="s">
        <v>25</v>
      </c>
      <c r="M71" s="6" t="str">
        <f>IF(L71&lt;&gt;"",L71,_xlfn.TEXTJOIN(" · ",TRUE,IF(F71&lt;&gt;"","Fundador",""),IF(G71&lt;&gt;"","Anjo",""),IF(H71&lt;&gt;"","VC",""),IF(I71&lt;&gt;"","Gestão",""),IF(J71&lt;&gt;"","Conselho",""),IF(K71&lt;&gt;"","Buscapé","")))</f>
        <v>Buscapé</v>
      </c>
      <c r="O71" s="5">
        <v>2010</v>
      </c>
      <c r="R71" t="s">
        <v>242</v>
      </c>
    </row>
    <row r="72" spans="1:21" x14ac:dyDescent="0.2">
      <c r="A72" s="5">
        <v>840</v>
      </c>
      <c r="B72" s="5" t="s">
        <v>25</v>
      </c>
      <c r="C72" s="5"/>
      <c r="D72" t="s">
        <v>243</v>
      </c>
      <c r="F72" s="5"/>
      <c r="G72" s="5"/>
      <c r="H72" s="5"/>
      <c r="I72" s="5"/>
      <c r="J72" s="5"/>
      <c r="K72" s="5" t="s">
        <v>25</v>
      </c>
      <c r="M72" s="6" t="str">
        <f>IF(L72&lt;&gt;"",L72,_xlfn.TEXTJOIN(" · ",TRUE,IF(F72&lt;&gt;"","Fundador",""),IF(G72&lt;&gt;"","Anjo",""),IF(H72&lt;&gt;"","VC",""),IF(I72&lt;&gt;"","Gestão",""),IF(J72&lt;&gt;"","Conselho",""),IF(K72&lt;&gt;"","Buscapé","")))</f>
        <v>Buscapé</v>
      </c>
      <c r="O72" s="5">
        <v>2010</v>
      </c>
      <c r="R72" t="s">
        <v>244</v>
      </c>
    </row>
    <row r="73" spans="1:21" x14ac:dyDescent="0.2">
      <c r="A73" s="5">
        <v>850</v>
      </c>
      <c r="B73" s="5" t="s">
        <v>25</v>
      </c>
      <c r="C73" s="5"/>
      <c r="D73" t="s">
        <v>245</v>
      </c>
      <c r="F73" s="5"/>
      <c r="G73" s="5"/>
      <c r="H73" s="5"/>
      <c r="I73" s="5"/>
      <c r="J73" s="5"/>
      <c r="K73" s="5" t="s">
        <v>25</v>
      </c>
      <c r="M73" s="6" t="str">
        <f>IF(L73&lt;&gt;"",L73,_xlfn.TEXTJOIN(" · ",TRUE,IF(F73&lt;&gt;"","Fundador",""),IF(G73&lt;&gt;"","Anjo",""),IF(H73&lt;&gt;"","VC",""),IF(I73&lt;&gt;"","Gestão",""),IF(J73&lt;&gt;"","Conselho",""),IF(K73&lt;&gt;"","Buscapé","")))</f>
        <v>Buscapé</v>
      </c>
      <c r="O73" s="5">
        <v>2010</v>
      </c>
      <c r="R73" t="s">
        <v>246</v>
      </c>
    </row>
    <row r="74" spans="1:21" x14ac:dyDescent="0.2">
      <c r="A74" s="5">
        <v>860</v>
      </c>
      <c r="B74" s="5" t="s">
        <v>25</v>
      </c>
      <c r="C74" s="5"/>
      <c r="D74" t="s">
        <v>247</v>
      </c>
      <c r="F74" s="5"/>
      <c r="G74" s="5"/>
      <c r="H74" s="5"/>
      <c r="I74" s="5"/>
      <c r="J74" s="5"/>
      <c r="K74" s="5" t="s">
        <v>25</v>
      </c>
      <c r="M74" s="6" t="str">
        <f>IF(L74&lt;&gt;"",L74,_xlfn.TEXTJOIN(" · ",TRUE,IF(F74&lt;&gt;"","Fundador",""),IF(G74&lt;&gt;"","Anjo",""),IF(H74&lt;&gt;"","VC",""),IF(I74&lt;&gt;"","Gestão",""),IF(J74&lt;&gt;"","Conselho",""),IF(K74&lt;&gt;"","Buscapé","")))</f>
        <v>Buscapé</v>
      </c>
      <c r="O74" s="5">
        <v>2009</v>
      </c>
      <c r="R74" t="s">
        <v>248</v>
      </c>
    </row>
    <row r="75" spans="1:21" x14ac:dyDescent="0.2">
      <c r="A75" s="5">
        <v>870</v>
      </c>
      <c r="B75" s="5" t="s">
        <v>25</v>
      </c>
      <c r="C75" s="5"/>
      <c r="D75" t="s">
        <v>249</v>
      </c>
      <c r="E75" t="s">
        <v>250</v>
      </c>
      <c r="F75" s="5"/>
      <c r="G75" s="5"/>
      <c r="H75" s="5"/>
      <c r="I75" s="5"/>
      <c r="J75" s="5"/>
      <c r="K75" s="5" t="s">
        <v>25</v>
      </c>
      <c r="M75" s="6" t="str">
        <f>IF(L75&lt;&gt;"",L75,_xlfn.TEXTJOIN(" · ",TRUE,IF(F75&lt;&gt;"","Fundador",""),IF(G75&lt;&gt;"","Anjo",""),IF(H75&lt;&gt;"","VC",""),IF(I75&lt;&gt;"","Gestão",""),IF(J75&lt;&gt;"","Conselho",""),IF(K75&lt;&gt;"","Buscapé","")))</f>
        <v>Buscapé</v>
      </c>
      <c r="O75" s="5">
        <v>2008</v>
      </c>
      <c r="R75" t="s">
        <v>251</v>
      </c>
      <c r="T75" t="s">
        <v>250</v>
      </c>
      <c r="U75" t="s">
        <v>252</v>
      </c>
    </row>
    <row r="76" spans="1:21" x14ac:dyDescent="0.2">
      <c r="A76" s="5">
        <v>880</v>
      </c>
      <c r="B76" s="5" t="s">
        <v>25</v>
      </c>
      <c r="C76" s="5"/>
      <c r="D76" t="s">
        <v>253</v>
      </c>
      <c r="F76" s="5"/>
      <c r="G76" s="5"/>
      <c r="H76" s="5"/>
      <c r="I76" s="5"/>
      <c r="J76" s="5"/>
      <c r="K76" s="5" t="s">
        <v>25</v>
      </c>
      <c r="M76" s="6" t="str">
        <f>IF(L76&lt;&gt;"",L76,_xlfn.TEXTJOIN(" · ",TRUE,IF(F76&lt;&gt;"","Fundador",""),IF(G76&lt;&gt;"","Anjo",""),IF(H76&lt;&gt;"","VC",""),IF(I76&lt;&gt;"","Gestão",""),IF(J76&lt;&gt;"","Conselho",""),IF(K76&lt;&gt;"","Buscapé","")))</f>
        <v>Buscapé</v>
      </c>
      <c r="O76" s="5">
        <v>2008</v>
      </c>
      <c r="R76" t="s">
        <v>254</v>
      </c>
    </row>
    <row r="77" spans="1:21" x14ac:dyDescent="0.2">
      <c r="A77" s="5">
        <v>890</v>
      </c>
      <c r="B77" s="5" t="s">
        <v>25</v>
      </c>
      <c r="C77" s="5"/>
      <c r="D77" t="s">
        <v>255</v>
      </c>
      <c r="F77" s="5"/>
      <c r="G77" s="5"/>
      <c r="H77" s="5"/>
      <c r="I77" s="5"/>
      <c r="J77" s="5"/>
      <c r="K77" s="5" t="s">
        <v>25</v>
      </c>
      <c r="M77" s="6" t="str">
        <f>IF(L77&lt;&gt;"",L77,_xlfn.TEXTJOIN(" · ",TRUE,IF(F77&lt;&gt;"","Fundador",""),IF(G77&lt;&gt;"","Anjo",""),IF(H77&lt;&gt;"","VC",""),IF(I77&lt;&gt;"","Gestão",""),IF(J77&lt;&gt;"","Conselho",""),IF(K77&lt;&gt;"","Buscapé","")))</f>
        <v>Buscapé</v>
      </c>
      <c r="O77" s="5">
        <v>2007</v>
      </c>
      <c r="R77" t="s">
        <v>256</v>
      </c>
    </row>
    <row r="78" spans="1:21" x14ac:dyDescent="0.2">
      <c r="A78" s="5">
        <v>900</v>
      </c>
      <c r="B78" s="5" t="s">
        <v>25</v>
      </c>
      <c r="C78" s="5"/>
      <c r="D78" t="s">
        <v>257</v>
      </c>
      <c r="F78" s="5"/>
      <c r="G78" s="5"/>
      <c r="H78" s="5"/>
      <c r="I78" s="5"/>
      <c r="J78" s="5"/>
      <c r="K78" s="5" t="s">
        <v>25</v>
      </c>
      <c r="M78" s="6" t="str">
        <f>IF(L78&lt;&gt;"",L78,_xlfn.TEXTJOIN(" · ",TRUE,IF(F78&lt;&gt;"","Fundador",""),IF(G78&lt;&gt;"","Anjo",""),IF(H78&lt;&gt;"","VC",""),IF(I78&lt;&gt;"","Gestão",""),IF(J78&lt;&gt;"","Conselho",""),IF(K78&lt;&gt;"","Buscapé","")))</f>
        <v>Buscapé</v>
      </c>
      <c r="O78" s="5">
        <v>2006</v>
      </c>
      <c r="Q78" t="s">
        <v>258</v>
      </c>
      <c r="R78" t="s">
        <v>259</v>
      </c>
    </row>
    <row r="79" spans="1:21" x14ac:dyDescent="0.2">
      <c r="A79" s="5">
        <v>910</v>
      </c>
      <c r="B79" s="5" t="s">
        <v>25</v>
      </c>
      <c r="C79" s="5"/>
      <c r="D79" t="s">
        <v>260</v>
      </c>
      <c r="F79" s="5"/>
      <c r="G79" s="5"/>
      <c r="H79" s="5"/>
      <c r="I79" s="5"/>
      <c r="J79" s="5"/>
      <c r="K79" s="5" t="s">
        <v>25</v>
      </c>
      <c r="M79" s="6" t="str">
        <f>IF(L79&lt;&gt;"",L79,_xlfn.TEXTJOIN(" · ",TRUE,IF(F79&lt;&gt;"","Fundador",""),IF(G79&lt;&gt;"","Anjo",""),IF(H79&lt;&gt;"","VC",""),IF(I79&lt;&gt;"","Gestão",""),IF(J79&lt;&gt;"","Conselho",""),IF(K79&lt;&gt;"","Buscapé","")))</f>
        <v>Buscapé</v>
      </c>
      <c r="O79" s="5">
        <v>2006</v>
      </c>
      <c r="R79" t="s">
        <v>261</v>
      </c>
    </row>
    <row r="80" spans="1:21" x14ac:dyDescent="0.2">
      <c r="A80" s="5">
        <v>920</v>
      </c>
      <c r="B80" s="5" t="s">
        <v>25</v>
      </c>
      <c r="C80" s="5"/>
      <c r="D80" t="s">
        <v>262</v>
      </c>
      <c r="F80" s="5"/>
      <c r="G80" s="5"/>
      <c r="H80" s="5"/>
      <c r="I80" s="5"/>
      <c r="J80" s="5"/>
      <c r="K80" s="5" t="s">
        <v>25</v>
      </c>
      <c r="M80" s="6" t="str">
        <f>IF(L80&lt;&gt;"",L80,_xlfn.TEXTJOIN(" · ",TRUE,IF(F80&lt;&gt;"","Fundador",""),IF(G80&lt;&gt;"","Anjo",""),IF(H80&lt;&gt;"","VC",""),IF(I80&lt;&gt;"","Gestão",""),IF(J80&lt;&gt;"","Conselho",""),IF(K80&lt;&gt;"","Buscapé","")))</f>
        <v>Buscapé</v>
      </c>
      <c r="O80" s="5">
        <v>2006</v>
      </c>
      <c r="Q80" t="s">
        <v>263</v>
      </c>
      <c r="R80" t="s">
        <v>264</v>
      </c>
    </row>
    <row r="81" spans="1:18" x14ac:dyDescent="0.2">
      <c r="A81" s="5">
        <v>930</v>
      </c>
      <c r="B81" s="5" t="s">
        <v>25</v>
      </c>
      <c r="C81" s="5"/>
      <c r="D81" t="s">
        <v>265</v>
      </c>
      <c r="F81" s="5"/>
      <c r="G81" s="5" t="s">
        <v>25</v>
      </c>
      <c r="H81" s="5"/>
      <c r="I81" s="5"/>
      <c r="J81" s="5"/>
      <c r="K81" s="5"/>
      <c r="M81" s="6" t="str">
        <f>IF(L81&lt;&gt;"",L81,_xlfn.TEXTJOIN(" · ",TRUE,IF(F81&lt;&gt;"","Fundador",""),IF(G81&lt;&gt;"","Anjo",""),IF(H81&lt;&gt;"","VC",""),IF(I81&lt;&gt;"","Gestão",""),IF(J81&lt;&gt;"","Conselho",""),IF(K81&lt;&gt;"","Buscapé","")))</f>
        <v>Anjo</v>
      </c>
      <c r="O81" s="5">
        <v>2004</v>
      </c>
    </row>
    <row r="82" spans="1:18" x14ac:dyDescent="0.2">
      <c r="A82" s="5">
        <v>960</v>
      </c>
      <c r="B82" s="5" t="s">
        <v>25</v>
      </c>
      <c r="C82" s="5"/>
      <c r="D82" t="s">
        <v>269</v>
      </c>
      <c r="F82" s="5"/>
      <c r="G82" s="5" t="s">
        <v>25</v>
      </c>
      <c r="H82" s="5"/>
      <c r="I82" s="5"/>
      <c r="J82" s="5"/>
      <c r="K82" s="5"/>
      <c r="M82" s="6" t="str">
        <f>IF(L82&lt;&gt;"",L82,_xlfn.TEXTJOIN(" · ",TRUE,IF(F82&lt;&gt;"","Fundador",""),IF(G82&lt;&gt;"","Anjo",""),IF(H82&lt;&gt;"","VC",""),IF(I82&lt;&gt;"","Gestão",""),IF(J82&lt;&gt;"","Conselho",""),IF(K82&lt;&gt;"","Buscapé","")))</f>
        <v>Anjo</v>
      </c>
      <c r="O82" s="5">
        <v>2004</v>
      </c>
    </row>
    <row r="83" spans="1:18" x14ac:dyDescent="0.2">
      <c r="A83" s="5">
        <v>980</v>
      </c>
      <c r="B83" s="5" t="s">
        <v>25</v>
      </c>
      <c r="C83" s="5"/>
      <c r="D83" t="s">
        <v>271</v>
      </c>
      <c r="F83" s="5"/>
      <c r="G83" s="5"/>
      <c r="H83" s="5"/>
      <c r="I83" s="5" t="s">
        <v>25</v>
      </c>
      <c r="J83" s="5"/>
      <c r="K83" s="5"/>
      <c r="L83" t="s">
        <v>266</v>
      </c>
      <c r="M83" s="6" t="str">
        <f>IF(L83&lt;&gt;"",L83,_xlfn.TEXTJOIN(" · ",TRUE,IF(F83&lt;&gt;"","Fundador",""),IF(G83&lt;&gt;"","Anjo",""),IF(H83&lt;&gt;"","VC",""),IF(I83&lt;&gt;"","Gestão",""),IF(J83&lt;&gt;"","Conselho",""),IF(K83&lt;&gt;"","Buscapé","")))</f>
        <v>Holding</v>
      </c>
      <c r="O83" s="5">
        <v>2004</v>
      </c>
    </row>
    <row r="84" spans="1:18" x14ac:dyDescent="0.2">
      <c r="A84" s="5">
        <v>1000</v>
      </c>
      <c r="B84" s="5" t="s">
        <v>25</v>
      </c>
      <c r="C84" s="5"/>
      <c r="D84" t="s">
        <v>273</v>
      </c>
      <c r="F84" s="5"/>
      <c r="G84" s="5" t="s">
        <v>25</v>
      </c>
      <c r="H84" s="5"/>
      <c r="I84" s="5"/>
      <c r="J84" s="5"/>
      <c r="K84" s="5"/>
      <c r="M84" s="6" t="str">
        <f>IF(L84&lt;&gt;"",L84,_xlfn.TEXTJOIN(" · ",TRUE,IF(F84&lt;&gt;"","Fundador",""),IF(G84&lt;&gt;"","Anjo",""),IF(H84&lt;&gt;"","VC",""),IF(I84&lt;&gt;"","Gestão",""),IF(J84&lt;&gt;"","Conselho",""),IF(K84&lt;&gt;"","Buscapé","")))</f>
        <v>Anjo</v>
      </c>
      <c r="O84" s="5"/>
    </row>
    <row r="85" spans="1:18" x14ac:dyDescent="0.2">
      <c r="A85" s="5">
        <v>1010</v>
      </c>
      <c r="B85" s="5" t="s">
        <v>25</v>
      </c>
      <c r="C85" s="5"/>
      <c r="D85" t="s">
        <v>274</v>
      </c>
      <c r="F85" s="5"/>
      <c r="G85" s="5" t="s">
        <v>25</v>
      </c>
      <c r="H85" s="5"/>
      <c r="I85" s="5"/>
      <c r="J85" s="5"/>
      <c r="K85" s="5"/>
      <c r="M85" s="6" t="str">
        <f>IF(L85&lt;&gt;"",L85,_xlfn.TEXTJOIN(" · ",TRUE,IF(F85&lt;&gt;"","Fundador",""),IF(G85&lt;&gt;"","Anjo",""),IF(H85&lt;&gt;"","VC",""),IF(I85&lt;&gt;"","Gestão",""),IF(J85&lt;&gt;"","Conselho",""),IF(K85&lt;&gt;"","Buscapé","")))</f>
        <v>Anjo</v>
      </c>
      <c r="O85" s="5"/>
      <c r="Q85" t="s">
        <v>275</v>
      </c>
      <c r="R85" t="s">
        <v>276</v>
      </c>
    </row>
    <row r="86" spans="1:18" x14ac:dyDescent="0.2">
      <c r="A86" s="5">
        <v>1020</v>
      </c>
      <c r="B86" s="5" t="s">
        <v>25</v>
      </c>
      <c r="C86" s="5"/>
      <c r="D86" t="s">
        <v>277</v>
      </c>
      <c r="F86" s="5"/>
      <c r="G86" s="5" t="s">
        <v>25</v>
      </c>
      <c r="H86" s="5"/>
      <c r="I86" s="5"/>
      <c r="J86" s="5"/>
      <c r="K86" s="5"/>
      <c r="M86" s="6" t="str">
        <f>IF(L86&lt;&gt;"",L86,_xlfn.TEXTJOIN(" · ",TRUE,IF(F86&lt;&gt;"","Fundador",""),IF(G86&lt;&gt;"","Anjo",""),IF(H86&lt;&gt;"","VC",""),IF(I86&lt;&gt;"","Gestão",""),IF(J86&lt;&gt;"","Conselho",""),IF(K86&lt;&gt;"","Buscapé","")))</f>
        <v>Anjo</v>
      </c>
      <c r="O86" s="5"/>
      <c r="Q86" t="s">
        <v>278</v>
      </c>
      <c r="R86" t="s">
        <v>279</v>
      </c>
    </row>
    <row r="87" spans="1:18" x14ac:dyDescent="0.2">
      <c r="A87" s="5">
        <v>1030</v>
      </c>
      <c r="B87" s="5" t="s">
        <v>25</v>
      </c>
      <c r="C87" s="5"/>
      <c r="D87" t="s">
        <v>280</v>
      </c>
      <c r="F87" s="5"/>
      <c r="G87" s="5" t="s">
        <v>25</v>
      </c>
      <c r="H87" s="5"/>
      <c r="I87" s="5"/>
      <c r="J87" s="5"/>
      <c r="K87" s="5"/>
      <c r="M87" s="6" t="str">
        <f>IF(L87&lt;&gt;"",L87,_xlfn.TEXTJOIN(" · ",TRUE,IF(F87&lt;&gt;"","Fundador",""),IF(G87&lt;&gt;"","Anjo",""),IF(H87&lt;&gt;"","VC",""),IF(I87&lt;&gt;"","Gestão",""),IF(J87&lt;&gt;"","Conselho",""),IF(K87&lt;&gt;"","Buscapé","")))</f>
        <v>Anjo</v>
      </c>
      <c r="O87" s="5"/>
      <c r="P87" t="s">
        <v>44</v>
      </c>
      <c r="Q87" t="s">
        <v>281</v>
      </c>
      <c r="R87" t="s">
        <v>282</v>
      </c>
    </row>
    <row r="88" spans="1:18" x14ac:dyDescent="0.2">
      <c r="A88" s="5">
        <v>1040</v>
      </c>
      <c r="B88" s="5" t="s">
        <v>25</v>
      </c>
      <c r="C88" s="5"/>
      <c r="D88" t="s">
        <v>284</v>
      </c>
      <c r="F88" s="5"/>
      <c r="G88" s="5" t="s">
        <v>25</v>
      </c>
      <c r="H88" s="5"/>
      <c r="I88" s="5"/>
      <c r="J88" s="5"/>
      <c r="K88" s="5"/>
      <c r="M88" s="6" t="str">
        <f>IF(L88&lt;&gt;"",L88,_xlfn.TEXTJOIN(" · ",TRUE,IF(F88&lt;&gt;"","Fundador",""),IF(G88&lt;&gt;"","Anjo",""),IF(H88&lt;&gt;"","VC",""),IF(I88&lt;&gt;"","Gestão",""),IF(J88&lt;&gt;"","Conselho",""),IF(K88&lt;&gt;"","Buscapé","")))</f>
        <v>Anjo</v>
      </c>
      <c r="O88" s="5"/>
      <c r="P88" t="s">
        <v>44</v>
      </c>
      <c r="R88" t="s">
        <v>285</v>
      </c>
    </row>
    <row r="89" spans="1:18" x14ac:dyDescent="0.2">
      <c r="A89" s="5">
        <v>1050</v>
      </c>
      <c r="B89" s="5" t="s">
        <v>25</v>
      </c>
      <c r="C89" s="5"/>
      <c r="D89" t="s">
        <v>286</v>
      </c>
      <c r="F89" s="5"/>
      <c r="G89" s="5" t="s">
        <v>25</v>
      </c>
      <c r="H89" s="5"/>
      <c r="I89" s="5"/>
      <c r="J89" s="5"/>
      <c r="K89" s="5"/>
      <c r="M89" s="6" t="str">
        <f>IF(L89&lt;&gt;"",L89,_xlfn.TEXTJOIN(" · ",TRUE,IF(F89&lt;&gt;"","Fundador",""),IF(G89&lt;&gt;"","Anjo",""),IF(H89&lt;&gt;"","VC",""),IF(I89&lt;&gt;"","Gestão",""),IF(J89&lt;&gt;"","Conselho",""),IF(K89&lt;&gt;"","Buscapé","")))</f>
        <v>Anjo</v>
      </c>
      <c r="O89" s="5"/>
      <c r="Q89" t="s">
        <v>287</v>
      </c>
      <c r="R89" t="s">
        <v>288</v>
      </c>
    </row>
    <row r="90" spans="1:18" x14ac:dyDescent="0.2">
      <c r="A90" s="5">
        <v>1060</v>
      </c>
      <c r="B90" s="5" t="s">
        <v>25</v>
      </c>
      <c r="C90" s="5"/>
      <c r="D90" t="s">
        <v>289</v>
      </c>
      <c r="F90" s="5"/>
      <c r="G90" s="5" t="s">
        <v>25</v>
      </c>
      <c r="H90" s="5"/>
      <c r="I90" s="5"/>
      <c r="J90" s="5"/>
      <c r="K90" s="5"/>
      <c r="M90" s="6" t="str">
        <f>IF(L90&lt;&gt;"",L90,_xlfn.TEXTJOIN(" · ",TRUE,IF(F90&lt;&gt;"","Fundador",""),IF(G90&lt;&gt;"","Anjo",""),IF(H90&lt;&gt;"","VC",""),IF(I90&lt;&gt;"","Gestão",""),IF(J90&lt;&gt;"","Conselho",""),IF(K90&lt;&gt;"","Buscapé","")))</f>
        <v>Anjo</v>
      </c>
      <c r="O90" s="5"/>
    </row>
    <row r="91" spans="1:18" x14ac:dyDescent="0.2">
      <c r="A91" s="5">
        <v>1070</v>
      </c>
      <c r="B91" s="5" t="s">
        <v>25</v>
      </c>
      <c r="C91" s="5"/>
      <c r="D91" t="s">
        <v>291</v>
      </c>
      <c r="F91" s="5"/>
      <c r="G91" s="5" t="s">
        <v>25</v>
      </c>
      <c r="H91" s="5"/>
      <c r="I91" s="5"/>
      <c r="J91" s="5"/>
      <c r="K91" s="5"/>
      <c r="M91" s="6" t="str">
        <f>IF(L91&lt;&gt;"",L91,_xlfn.TEXTJOIN(" · ",TRUE,IF(F91&lt;&gt;"","Fundador",""),IF(G91&lt;&gt;"","Anjo",""),IF(H91&lt;&gt;"","VC",""),IF(I91&lt;&gt;"","Gestão",""),IF(J91&lt;&gt;"","Conselho",""),IF(K91&lt;&gt;"","Buscapé","")))</f>
        <v>Anjo</v>
      </c>
      <c r="O91" s="5"/>
      <c r="R91" t="s">
        <v>292</v>
      </c>
    </row>
    <row r="92" spans="1:18" x14ac:dyDescent="0.2">
      <c r="A92" s="5">
        <v>1080</v>
      </c>
      <c r="B92" s="5" t="s">
        <v>25</v>
      </c>
      <c r="C92" s="5"/>
      <c r="D92" t="s">
        <v>293</v>
      </c>
      <c r="F92" s="5"/>
      <c r="G92" s="5" t="s">
        <v>25</v>
      </c>
      <c r="H92" s="5"/>
      <c r="I92" s="5"/>
      <c r="J92" s="5"/>
      <c r="K92" s="5"/>
      <c r="M92" s="6" t="str">
        <f>IF(L92&lt;&gt;"",L92,_xlfn.TEXTJOIN(" · ",TRUE,IF(F92&lt;&gt;"","Fundador",""),IF(G92&lt;&gt;"","Anjo",""),IF(H92&lt;&gt;"","VC",""),IF(I92&lt;&gt;"","Gestão",""),IF(J92&lt;&gt;"","Conselho",""),IF(K92&lt;&gt;"","Buscapé","")))</f>
        <v>Anjo</v>
      </c>
      <c r="O92" s="5"/>
      <c r="Q92" t="s">
        <v>294</v>
      </c>
      <c r="R92" t="s">
        <v>295</v>
      </c>
    </row>
    <row r="93" spans="1:18" x14ac:dyDescent="0.2">
      <c r="A93" s="5">
        <v>1090</v>
      </c>
      <c r="B93" s="5" t="s">
        <v>25</v>
      </c>
      <c r="C93" s="5"/>
      <c r="D93" t="s">
        <v>301</v>
      </c>
      <c r="F93" s="5"/>
      <c r="G93" s="5" t="s">
        <v>25</v>
      </c>
      <c r="H93" s="5"/>
      <c r="I93" s="5"/>
      <c r="J93" s="5"/>
      <c r="K93" s="5"/>
      <c r="M93" s="6" t="str">
        <f>IF(L93&lt;&gt;"",L93,_xlfn.TEXTJOIN(" · ",TRUE,IF(F93&lt;&gt;"","Fundador",""),IF(G93&lt;&gt;"","Anjo",""),IF(H93&lt;&gt;"","VC",""),IF(I93&lt;&gt;"","Gestão",""),IF(J93&lt;&gt;"","Conselho",""),IF(K93&lt;&gt;"","Buscapé","")))</f>
        <v>Anjo</v>
      </c>
      <c r="N93" t="s">
        <v>302</v>
      </c>
      <c r="O93" s="5"/>
      <c r="P93" t="s">
        <v>303</v>
      </c>
    </row>
    <row r="94" spans="1:18" x14ac:dyDescent="0.2">
      <c r="A94" s="5">
        <v>1100</v>
      </c>
      <c r="B94" s="5" t="s">
        <v>25</v>
      </c>
      <c r="C94" s="5"/>
      <c r="D94" t="s">
        <v>311</v>
      </c>
      <c r="F94" s="5"/>
      <c r="G94" s="5" t="s">
        <v>25</v>
      </c>
      <c r="H94" s="5"/>
      <c r="I94" s="5"/>
      <c r="J94" s="5"/>
      <c r="K94" s="5"/>
      <c r="M94" s="6" t="str">
        <f>IF(L94&lt;&gt;"",L94,_xlfn.TEXTJOIN(" · ",TRUE,IF(F94&lt;&gt;"","Fundador",""),IF(G94&lt;&gt;"","Anjo",""),IF(H94&lt;&gt;"","VC",""),IF(I94&lt;&gt;"","Gestão",""),IF(J94&lt;&gt;"","Conselho",""),IF(K94&lt;&gt;"","Buscapé","")))</f>
        <v>Anjo</v>
      </c>
      <c r="O94" s="5"/>
      <c r="P94" t="s">
        <v>44</v>
      </c>
      <c r="Q94" t="s">
        <v>312</v>
      </c>
      <c r="R94" t="s">
        <v>313</v>
      </c>
    </row>
    <row r="95" spans="1:18" x14ac:dyDescent="0.2">
      <c r="A95" s="5">
        <v>1110</v>
      </c>
      <c r="B95" s="5" t="s">
        <v>25</v>
      </c>
      <c r="C95" s="5"/>
      <c r="D95" t="s">
        <v>314</v>
      </c>
      <c r="F95" s="5"/>
      <c r="G95" s="5" t="s">
        <v>25</v>
      </c>
      <c r="H95" s="5"/>
      <c r="I95" s="5"/>
      <c r="J95" s="5"/>
      <c r="K95" s="5"/>
      <c r="M95" s="6" t="str">
        <f>IF(L95&lt;&gt;"",L95,_xlfn.TEXTJOIN(" · ",TRUE,IF(F95&lt;&gt;"","Fundador",""),IF(G95&lt;&gt;"","Anjo",""),IF(H95&lt;&gt;"","VC",""),IF(I95&lt;&gt;"","Gestão",""),IF(J95&lt;&gt;"","Conselho",""),IF(K95&lt;&gt;"","Buscapé","")))</f>
        <v>Anjo</v>
      </c>
      <c r="O95" s="5"/>
      <c r="Q95" t="s">
        <v>315</v>
      </c>
      <c r="R95" t="s">
        <v>316</v>
      </c>
    </row>
    <row r="96" spans="1:18" x14ac:dyDescent="0.2">
      <c r="A96" s="5">
        <v>1120</v>
      </c>
      <c r="B96" s="5" t="s">
        <v>25</v>
      </c>
      <c r="C96" s="5"/>
      <c r="D96" t="s">
        <v>317</v>
      </c>
      <c r="F96" s="5"/>
      <c r="G96" s="5" t="s">
        <v>25</v>
      </c>
      <c r="H96" s="5"/>
      <c r="I96" s="5"/>
      <c r="J96" s="5"/>
      <c r="K96" s="5"/>
      <c r="M96" s="6" t="str">
        <f>IF(L96&lt;&gt;"",L96,_xlfn.TEXTJOIN(" · ",TRUE,IF(F96&lt;&gt;"","Fundador",""),IF(G96&lt;&gt;"","Anjo",""),IF(H96&lt;&gt;"","VC",""),IF(I96&lt;&gt;"","Gestão",""),IF(J96&lt;&gt;"","Conselho",""),IF(K96&lt;&gt;"","Buscapé","")))</f>
        <v>Anjo</v>
      </c>
      <c r="O96" s="5"/>
      <c r="P96" t="s">
        <v>44</v>
      </c>
      <c r="R96" t="s">
        <v>318</v>
      </c>
    </row>
    <row r="97" spans="1:18" x14ac:dyDescent="0.2">
      <c r="A97" s="5">
        <v>1130</v>
      </c>
      <c r="B97" s="5" t="s">
        <v>25</v>
      </c>
      <c r="C97" s="5"/>
      <c r="D97" t="s">
        <v>322</v>
      </c>
      <c r="F97" s="5"/>
      <c r="G97" s="5" t="s">
        <v>25</v>
      </c>
      <c r="H97" s="5"/>
      <c r="I97" s="5"/>
      <c r="J97" s="5"/>
      <c r="K97" s="5"/>
      <c r="M97" s="6" t="str">
        <f>IF(L97&lt;&gt;"",L97,_xlfn.TEXTJOIN(" · ",TRUE,IF(F97&lt;&gt;"","Fundador",""),IF(G97&lt;&gt;"","Anjo",""),IF(H97&lt;&gt;"","VC",""),IF(I97&lt;&gt;"","Gestão",""),IF(J97&lt;&gt;"","Conselho",""),IF(K97&lt;&gt;"","Buscapé","")))</f>
        <v>Anjo</v>
      </c>
      <c r="O97" s="5"/>
      <c r="Q97" t="s">
        <v>323</v>
      </c>
      <c r="R97" t="s">
        <v>324</v>
      </c>
    </row>
    <row r="98" spans="1:18" x14ac:dyDescent="0.2">
      <c r="A98" s="5">
        <v>1140</v>
      </c>
      <c r="B98" s="5" t="s">
        <v>25</v>
      </c>
      <c r="C98" s="5"/>
      <c r="D98" t="s">
        <v>327</v>
      </c>
      <c r="F98" s="5"/>
      <c r="G98" s="5" t="s">
        <v>25</v>
      </c>
      <c r="H98" s="5"/>
      <c r="I98" s="5"/>
      <c r="J98" s="5"/>
      <c r="K98" s="5"/>
      <c r="M98" s="6" t="str">
        <f>IF(L98&lt;&gt;"",L98,_xlfn.TEXTJOIN(" · ",TRUE,IF(F98&lt;&gt;"","Fundador",""),IF(G98&lt;&gt;"","Anjo",""),IF(H98&lt;&gt;"","VC",""),IF(I98&lt;&gt;"","Gestão",""),IF(J98&lt;&gt;"","Conselho",""),IF(K98&lt;&gt;"","Buscapé","")))</f>
        <v>Anjo</v>
      </c>
      <c r="O98" s="5"/>
      <c r="Q98" t="s">
        <v>328</v>
      </c>
      <c r="R98" t="s">
        <v>329</v>
      </c>
    </row>
    <row r="99" spans="1:18" x14ac:dyDescent="0.2">
      <c r="A99" s="5">
        <v>1150</v>
      </c>
      <c r="B99" s="5" t="s">
        <v>25</v>
      </c>
      <c r="C99" s="5"/>
      <c r="D99" t="s">
        <v>337</v>
      </c>
      <c r="F99" s="5"/>
      <c r="G99" s="5"/>
      <c r="H99" s="5" t="s">
        <v>25</v>
      </c>
      <c r="I99" s="5"/>
      <c r="J99" s="5"/>
      <c r="K99" s="5"/>
      <c r="M99" s="6" t="str">
        <f>IF(L99&lt;&gt;"",L99,_xlfn.TEXTJOIN(" · ",TRUE,IF(F99&lt;&gt;"","Fundador",""),IF(G99&lt;&gt;"","Anjo",""),IF(H99&lt;&gt;"","VC",""),IF(I99&lt;&gt;"","Gestão",""),IF(J99&lt;&gt;"","Conselho",""),IF(K99&lt;&gt;"","Buscapé","")))</f>
        <v>VC</v>
      </c>
      <c r="O99" s="5"/>
      <c r="R99" t="s">
        <v>338</v>
      </c>
    </row>
    <row r="100" spans="1:18" x14ac:dyDescent="0.2">
      <c r="A100" s="5">
        <v>1900</v>
      </c>
      <c r="B100" s="5" t="s">
        <v>25</v>
      </c>
      <c r="C100" s="5"/>
      <c r="D100" t="s">
        <v>184</v>
      </c>
      <c r="F100" s="5"/>
      <c r="G100" s="5"/>
      <c r="H100" s="5"/>
      <c r="I100" s="5"/>
      <c r="J100" s="5"/>
      <c r="K100" s="5" t="s">
        <v>25</v>
      </c>
      <c r="M100" s="6" t="str">
        <f>IF(L100&lt;&gt;"",L100,_xlfn.TEXTJOIN(" · ",TRUE,IF(F100&lt;&gt;"","Fundador",""),IF(G100&lt;&gt;"","Anjo",""),IF(H100&lt;&gt;"","VC",""),IF(I100&lt;&gt;"","Gestão",""),IF(J100&lt;&gt;"","Conselho",""),IF(K100&lt;&gt;"","Buscapé","")))</f>
        <v>Buscapé</v>
      </c>
      <c r="O100" s="5">
        <v>2014</v>
      </c>
      <c r="Q100" t="s">
        <v>185</v>
      </c>
      <c r="R100" t="s">
        <v>186</v>
      </c>
    </row>
    <row r="101" spans="1:18" x14ac:dyDescent="0.2">
      <c r="A101" s="5">
        <v>1901</v>
      </c>
      <c r="B101" s="5" t="s">
        <v>25</v>
      </c>
      <c r="C101" s="5"/>
      <c r="D101" t="s">
        <v>187</v>
      </c>
      <c r="F101" s="5"/>
      <c r="G101" s="5"/>
      <c r="H101" s="5"/>
      <c r="I101" s="5"/>
      <c r="J101" s="5"/>
      <c r="K101" s="5" t="s">
        <v>25</v>
      </c>
      <c r="M101" s="6" t="str">
        <f>IF(L101&lt;&gt;"",L101,_xlfn.TEXTJOIN(" · ",TRUE,IF(F101&lt;&gt;"","Fundador",""),IF(G101&lt;&gt;"","Anjo",""),IF(H101&lt;&gt;"","VC",""),IF(I101&lt;&gt;"","Gestão",""),IF(J101&lt;&gt;"","Conselho",""),IF(K101&lt;&gt;"","Buscapé","")))</f>
        <v>Buscapé</v>
      </c>
      <c r="O101" s="5">
        <v>2014</v>
      </c>
      <c r="R101" t="s">
        <v>188</v>
      </c>
    </row>
    <row r="102" spans="1:18" x14ac:dyDescent="0.2">
      <c r="A102" s="5">
        <v>1902</v>
      </c>
      <c r="B102" s="5" t="s">
        <v>25</v>
      </c>
      <c r="C102" s="5"/>
      <c r="D102" t="s">
        <v>189</v>
      </c>
      <c r="F102" s="5"/>
      <c r="G102" s="5"/>
      <c r="H102" s="5"/>
      <c r="I102" s="5"/>
      <c r="J102" s="5"/>
      <c r="K102" s="5" t="s">
        <v>25</v>
      </c>
      <c r="M102" s="6" t="str">
        <f>IF(L102&lt;&gt;"",L102,_xlfn.TEXTJOIN(" · ",TRUE,IF(F102&lt;&gt;"","Fundador",""),IF(G102&lt;&gt;"","Anjo",""),IF(H102&lt;&gt;"","VC",""),IF(I102&lt;&gt;"","Gestão",""),IF(J102&lt;&gt;"","Conselho",""),IF(K102&lt;&gt;"","Buscapé","")))</f>
        <v>Buscapé</v>
      </c>
      <c r="O102" s="5">
        <v>2014</v>
      </c>
    </row>
    <row r="103" spans="1:18" x14ac:dyDescent="0.2">
      <c r="A103" s="5">
        <v>1903</v>
      </c>
      <c r="B103" s="5" t="s">
        <v>25</v>
      </c>
      <c r="C103" s="5"/>
      <c r="D103" t="s">
        <v>190</v>
      </c>
      <c r="F103" s="5"/>
      <c r="G103" s="5"/>
      <c r="H103" s="5"/>
      <c r="I103" s="5"/>
      <c r="J103" s="5"/>
      <c r="K103" s="5" t="s">
        <v>25</v>
      </c>
      <c r="M103" s="6" t="str">
        <f>IF(L103&lt;&gt;"",L103,_xlfn.TEXTJOIN(" · ",TRUE,IF(F103&lt;&gt;"","Fundador",""),IF(G103&lt;&gt;"","Anjo",""),IF(H103&lt;&gt;"","VC",""),IF(I103&lt;&gt;"","Gestão",""),IF(J103&lt;&gt;"","Conselho",""),IF(K103&lt;&gt;"","Buscapé","")))</f>
        <v>Buscapé</v>
      </c>
      <c r="O103" s="5">
        <v>2014</v>
      </c>
      <c r="R103" t="s">
        <v>191</v>
      </c>
    </row>
    <row r="104" spans="1:18" x14ac:dyDescent="0.2">
      <c r="A104" s="5">
        <v>1904</v>
      </c>
      <c r="B104" s="5"/>
      <c r="C104" s="5"/>
      <c r="D104" s="7" t="s">
        <v>195</v>
      </c>
      <c r="F104" s="5"/>
      <c r="G104" s="5"/>
      <c r="H104" s="5"/>
      <c r="I104" s="5" t="s">
        <v>25</v>
      </c>
      <c r="J104" s="5" t="s">
        <v>25</v>
      </c>
      <c r="K104" s="5"/>
      <c r="M104" s="6" t="str">
        <f>IF(L104&lt;&gt;"",L104,_xlfn.TEXTJOIN(" · ",TRUE,IF(F104&lt;&gt;"","Fundador",""),IF(G104&lt;&gt;"","Anjo",""),IF(H104&lt;&gt;"","VC",""),IF(I104&lt;&gt;"","Gestão",""),IF(J104&lt;&gt;"","Conselho",""),IF(K104&lt;&gt;"","Buscapé","")))</f>
        <v>Gestão · Conselho</v>
      </c>
      <c r="O104" s="5">
        <v>2014</v>
      </c>
      <c r="Q104" t="s">
        <v>196</v>
      </c>
      <c r="R104" t="s">
        <v>197</v>
      </c>
    </row>
    <row r="105" spans="1:18" x14ac:dyDescent="0.2">
      <c r="A105" s="5">
        <v>1905</v>
      </c>
      <c r="B105" s="5" t="s">
        <v>25</v>
      </c>
      <c r="C105" s="5"/>
      <c r="D105" t="s">
        <v>204</v>
      </c>
      <c r="F105" s="5"/>
      <c r="G105" s="5"/>
      <c r="H105" s="5"/>
      <c r="I105" s="5"/>
      <c r="J105" s="5"/>
      <c r="K105" s="5" t="s">
        <v>25</v>
      </c>
      <c r="M105" s="6" t="str">
        <f>IF(L105&lt;&gt;"",L105,_xlfn.TEXTJOIN(" · ",TRUE,IF(F105&lt;&gt;"","Fundador",""),IF(G105&lt;&gt;"","Anjo",""),IF(H105&lt;&gt;"","VC",""),IF(I105&lt;&gt;"","Gestão",""),IF(J105&lt;&gt;"","Conselho",""),IF(K105&lt;&gt;"","Buscapé","")))</f>
        <v>Buscapé</v>
      </c>
      <c r="O105" s="5">
        <v>2014</v>
      </c>
      <c r="R105" t="s">
        <v>205</v>
      </c>
    </row>
    <row r="106" spans="1:18" x14ac:dyDescent="0.2">
      <c r="A106" s="5">
        <v>1906</v>
      </c>
      <c r="B106" s="5" t="s">
        <v>25</v>
      </c>
      <c r="C106" s="5"/>
      <c r="D106" t="s">
        <v>206</v>
      </c>
      <c r="F106" s="5"/>
      <c r="G106" s="5"/>
      <c r="H106" s="5"/>
      <c r="I106" s="5"/>
      <c r="J106" s="5"/>
      <c r="K106" s="5" t="s">
        <v>25</v>
      </c>
      <c r="M106" s="6" t="str">
        <f>IF(L106&lt;&gt;"",L106,_xlfn.TEXTJOIN(" · ",TRUE,IF(F106&lt;&gt;"","Fundador",""),IF(G106&lt;&gt;"","Anjo",""),IF(H106&lt;&gt;"","VC",""),IF(I106&lt;&gt;"","Gestão",""),IF(J106&lt;&gt;"","Conselho",""),IF(K106&lt;&gt;"","Buscapé","")))</f>
        <v>Buscapé</v>
      </c>
      <c r="O106" s="5">
        <v>2014</v>
      </c>
    </row>
    <row r="107" spans="1:18" x14ac:dyDescent="0.2">
      <c r="A107" s="5">
        <v>1907</v>
      </c>
      <c r="B107" s="5" t="s">
        <v>25</v>
      </c>
      <c r="C107" s="5"/>
      <c r="D107" t="s">
        <v>207</v>
      </c>
      <c r="F107" s="5"/>
      <c r="G107" s="5"/>
      <c r="H107" s="5"/>
      <c r="I107" s="5"/>
      <c r="J107" s="5"/>
      <c r="K107" s="5" t="s">
        <v>25</v>
      </c>
      <c r="M107" s="6" t="str">
        <f>IF(L107&lt;&gt;"",L107,_xlfn.TEXTJOIN(" · ",TRUE,IF(F107&lt;&gt;"","Fundador",""),IF(G107&lt;&gt;"","Anjo",""),IF(H107&lt;&gt;"","VC",""),IF(I107&lt;&gt;"","Gestão",""),IF(J107&lt;&gt;"","Conselho",""),IF(K107&lt;&gt;"","Buscapé","")))</f>
        <v>Buscapé</v>
      </c>
      <c r="O107" s="5">
        <v>2014</v>
      </c>
      <c r="Q107" t="s">
        <v>208</v>
      </c>
      <c r="R107" t="s">
        <v>209</v>
      </c>
    </row>
    <row r="108" spans="1:18" x14ac:dyDescent="0.2">
      <c r="A108" s="5">
        <v>1908</v>
      </c>
      <c r="B108" s="5" t="s">
        <v>25</v>
      </c>
      <c r="C108" s="5"/>
      <c r="D108" t="s">
        <v>210</v>
      </c>
      <c r="F108" s="5"/>
      <c r="G108" s="5"/>
      <c r="H108" s="5"/>
      <c r="I108" s="5"/>
      <c r="J108" s="5"/>
      <c r="K108" s="5" t="s">
        <v>25</v>
      </c>
      <c r="M108" s="6" t="str">
        <f>IF(L108&lt;&gt;"",L108,_xlfn.TEXTJOIN(" · ",TRUE,IF(F108&lt;&gt;"","Fundador",""),IF(G108&lt;&gt;"","Anjo",""),IF(H108&lt;&gt;"","VC",""),IF(I108&lt;&gt;"","Gestão",""),IF(J108&lt;&gt;"","Conselho",""),IF(K108&lt;&gt;"","Buscapé","")))</f>
        <v>Buscapé</v>
      </c>
      <c r="O108" s="5">
        <v>2014</v>
      </c>
      <c r="R108" t="s">
        <v>211</v>
      </c>
    </row>
    <row r="109" spans="1:18" x14ac:dyDescent="0.2">
      <c r="A109" s="5">
        <v>1909</v>
      </c>
      <c r="B109" s="5" t="s">
        <v>25</v>
      </c>
      <c r="C109" s="5"/>
      <c r="D109" t="s">
        <v>212</v>
      </c>
      <c r="F109" s="5"/>
      <c r="G109" s="5"/>
      <c r="H109" s="5"/>
      <c r="I109" s="5"/>
      <c r="J109" s="5"/>
      <c r="K109" s="5" t="s">
        <v>25</v>
      </c>
      <c r="M109" s="6" t="str">
        <f>IF(L109&lt;&gt;"",L109,_xlfn.TEXTJOIN(" · ",TRUE,IF(F109&lt;&gt;"","Fundador",""),IF(G109&lt;&gt;"","Anjo",""),IF(H109&lt;&gt;"","VC",""),IF(I109&lt;&gt;"","Gestão",""),IF(J109&lt;&gt;"","Conselho",""),IF(K109&lt;&gt;"","Buscapé","")))</f>
        <v>Buscapé</v>
      </c>
      <c r="O109" s="5">
        <v>2014</v>
      </c>
    </row>
    <row r="110" spans="1:18" x14ac:dyDescent="0.2">
      <c r="A110" s="5">
        <v>1910</v>
      </c>
      <c r="B110" s="5" t="s">
        <v>25</v>
      </c>
      <c r="C110" s="5"/>
      <c r="D110" t="s">
        <v>213</v>
      </c>
      <c r="F110" s="5"/>
      <c r="G110" s="5"/>
      <c r="H110" s="5"/>
      <c r="I110" s="5"/>
      <c r="J110" s="5"/>
      <c r="K110" s="5" t="s">
        <v>25</v>
      </c>
      <c r="M110" s="6" t="str">
        <f>IF(L110&lt;&gt;"",L110,_xlfn.TEXTJOIN(" · ",TRUE,IF(F110&lt;&gt;"","Fundador",""),IF(G110&lt;&gt;"","Anjo",""),IF(H110&lt;&gt;"","VC",""),IF(I110&lt;&gt;"","Gestão",""),IF(J110&lt;&gt;"","Conselho",""),IF(K110&lt;&gt;"","Buscapé","")))</f>
        <v>Buscapé</v>
      </c>
      <c r="O110" s="5">
        <v>2014</v>
      </c>
    </row>
    <row r="111" spans="1:18" x14ac:dyDescent="0.2">
      <c r="A111" s="5">
        <v>1911</v>
      </c>
      <c r="B111" s="5" t="s">
        <v>25</v>
      </c>
      <c r="C111" s="5"/>
      <c r="D111" t="s">
        <v>214</v>
      </c>
      <c r="F111" s="5"/>
      <c r="G111" s="5"/>
      <c r="H111" s="5"/>
      <c r="I111" s="5"/>
      <c r="J111" s="5"/>
      <c r="K111" s="5" t="s">
        <v>25</v>
      </c>
      <c r="M111" s="6" t="str">
        <f>IF(L111&lt;&gt;"",L111,_xlfn.TEXTJOIN(" · ",TRUE,IF(F111&lt;&gt;"","Fundador",""),IF(G111&lt;&gt;"","Anjo",""),IF(H111&lt;&gt;"","VC",""),IF(I111&lt;&gt;"","Gestão",""),IF(J111&lt;&gt;"","Conselho",""),IF(K111&lt;&gt;"","Buscapé","")))</f>
        <v>Buscapé</v>
      </c>
      <c r="O111" s="5">
        <v>2014</v>
      </c>
      <c r="R111" t="s">
        <v>215</v>
      </c>
    </row>
    <row r="112" spans="1:18" x14ac:dyDescent="0.2">
      <c r="A112" s="5">
        <v>2000</v>
      </c>
      <c r="B112" s="5" t="s">
        <v>25</v>
      </c>
      <c r="C112" s="5"/>
      <c r="D112" t="s">
        <v>272</v>
      </c>
      <c r="F112" s="5" t="s">
        <v>25</v>
      </c>
      <c r="G112" s="5"/>
      <c r="H112" s="5"/>
      <c r="I112" s="5"/>
      <c r="J112" s="5"/>
      <c r="K112" s="5"/>
      <c r="M112" s="6" t="str">
        <f>IF(L112&lt;&gt;"",L112,_xlfn.TEXTJOIN(" · ",TRUE,IF(F112&lt;&gt;"","Fundador",""),IF(G112&lt;&gt;"","Anjo",""),IF(H112&lt;&gt;"","VC",""),IF(I112&lt;&gt;"","Gestão",""),IF(J112&lt;&gt;"","Conselho",""),IF(K112&lt;&gt;"","Buscapé","")))</f>
        <v>Fundador</v>
      </c>
      <c r="O112" s="5">
        <v>1995</v>
      </c>
    </row>
    <row r="113" spans="1:18" x14ac:dyDescent="0.2">
      <c r="A113" s="5">
        <v>2010</v>
      </c>
      <c r="B113" s="5" t="s">
        <v>25</v>
      </c>
      <c r="C113" s="5"/>
      <c r="D113" t="s">
        <v>183</v>
      </c>
      <c r="F113" s="5"/>
      <c r="G113" s="5" t="s">
        <v>25</v>
      </c>
      <c r="H113" s="5"/>
      <c r="I113" s="5"/>
      <c r="J113" s="5"/>
      <c r="K113" s="5"/>
      <c r="M113" s="6" t="str">
        <f>IF(L113&lt;&gt;"",L113,_xlfn.TEXTJOIN(" · ",TRUE,IF(F113&lt;&gt;"","Fundador",""),IF(G113&lt;&gt;"","Anjo",""),IF(H113&lt;&gt;"","VC",""),IF(I113&lt;&gt;"","Gestão",""),IF(J113&lt;&gt;"","Conselho",""),IF(K113&lt;&gt;"","Buscapé","")))</f>
        <v>Anjo</v>
      </c>
      <c r="O113" s="5">
        <v>2016</v>
      </c>
    </row>
    <row r="114" spans="1:18" x14ac:dyDescent="0.2">
      <c r="A114" s="5">
        <v>2020</v>
      </c>
      <c r="B114" s="5" t="s">
        <v>25</v>
      </c>
      <c r="C114" s="5"/>
      <c r="D114" t="s">
        <v>267</v>
      </c>
      <c r="F114" s="5"/>
      <c r="G114" s="5" t="s">
        <v>25</v>
      </c>
      <c r="H114" s="5"/>
      <c r="I114" s="5"/>
      <c r="J114" s="5"/>
      <c r="K114" s="5"/>
      <c r="M114" s="6" t="str">
        <f>IF(L114&lt;&gt;"",L114,_xlfn.TEXTJOIN(" · ",TRUE,IF(F114&lt;&gt;"","Fundador",""),IF(G114&lt;&gt;"","Anjo",""),IF(H114&lt;&gt;"","VC",""),IF(I114&lt;&gt;"","Gestão",""),IF(J114&lt;&gt;"","Conselho",""),IF(K114&lt;&gt;"","Buscapé","")))</f>
        <v>Anjo</v>
      </c>
      <c r="O114" s="5">
        <v>2004</v>
      </c>
      <c r="P114" t="s">
        <v>44</v>
      </c>
    </row>
    <row r="115" spans="1:18" x14ac:dyDescent="0.2">
      <c r="A115" s="5">
        <v>2030</v>
      </c>
      <c r="B115" s="5" t="s">
        <v>25</v>
      </c>
      <c r="C115" s="5"/>
      <c r="D115" t="s">
        <v>268</v>
      </c>
      <c r="F115" s="5"/>
      <c r="G115" s="5" t="s">
        <v>25</v>
      </c>
      <c r="H115" s="5"/>
      <c r="I115" s="5"/>
      <c r="J115" s="5"/>
      <c r="K115" s="5"/>
      <c r="M115" s="6" t="str">
        <f>IF(L115&lt;&gt;"",L115,_xlfn.TEXTJOIN(" · ",TRUE,IF(F115&lt;&gt;"","Fundador",""),IF(G115&lt;&gt;"","Anjo",""),IF(H115&lt;&gt;"","VC",""),IF(I115&lt;&gt;"","Gestão",""),IF(J115&lt;&gt;"","Conselho",""),IF(K115&lt;&gt;"","Buscapé","")))</f>
        <v>Anjo</v>
      </c>
      <c r="O115" s="5">
        <v>2004</v>
      </c>
    </row>
    <row r="116" spans="1:18" x14ac:dyDescent="0.2">
      <c r="A116" s="5">
        <v>2040</v>
      </c>
      <c r="B116" s="5" t="s">
        <v>25</v>
      </c>
      <c r="C116" s="5"/>
      <c r="D116" t="s">
        <v>270</v>
      </c>
      <c r="F116" s="5"/>
      <c r="G116" s="5" t="s">
        <v>25</v>
      </c>
      <c r="H116" s="5"/>
      <c r="I116" s="5"/>
      <c r="J116" s="5"/>
      <c r="K116" s="5"/>
      <c r="M116" s="6" t="str">
        <f>IF(L116&lt;&gt;"",L116,_xlfn.TEXTJOIN(" · ",TRUE,IF(F116&lt;&gt;"","Fundador",""),IF(G116&lt;&gt;"","Anjo",""),IF(H116&lt;&gt;"","VC",""),IF(I116&lt;&gt;"","Gestão",""),IF(J116&lt;&gt;"","Conselho",""),IF(K116&lt;&gt;"","Buscapé","")))</f>
        <v>Anjo</v>
      </c>
      <c r="O116" s="5">
        <v>2004</v>
      </c>
    </row>
    <row r="117" spans="1:18" x14ac:dyDescent="0.2">
      <c r="A117" s="5">
        <v>2050</v>
      </c>
      <c r="B117" s="5" t="s">
        <v>25</v>
      </c>
      <c r="C117" s="5"/>
      <c r="D117" t="s">
        <v>283</v>
      </c>
      <c r="F117" s="5"/>
      <c r="G117" s="5" t="s">
        <v>25</v>
      </c>
      <c r="H117" s="5"/>
      <c r="I117" s="5"/>
      <c r="J117" s="5"/>
      <c r="K117" s="5"/>
      <c r="M117" s="6" t="str">
        <f>IF(L117&lt;&gt;"",L117,_xlfn.TEXTJOIN(" · ",TRUE,IF(F117&lt;&gt;"","Fundador",""),IF(G117&lt;&gt;"","Anjo",""),IF(H117&lt;&gt;"","VC",""),IF(I117&lt;&gt;"","Gestão",""),IF(J117&lt;&gt;"","Conselho",""),IF(K117&lt;&gt;"","Buscapé","")))</f>
        <v>Anjo</v>
      </c>
      <c r="O117" s="5"/>
      <c r="P117" t="s">
        <v>44</v>
      </c>
    </row>
    <row r="118" spans="1:18" x14ac:dyDescent="0.2">
      <c r="A118" s="5">
        <v>2060</v>
      </c>
      <c r="B118" s="5" t="s">
        <v>25</v>
      </c>
      <c r="C118" s="5"/>
      <c r="D118" t="s">
        <v>290</v>
      </c>
      <c r="F118" s="5"/>
      <c r="G118" s="5" t="s">
        <v>25</v>
      </c>
      <c r="H118" s="5"/>
      <c r="I118" s="5"/>
      <c r="J118" s="5"/>
      <c r="K118" s="5"/>
      <c r="M118" s="6" t="str">
        <f>IF(L118&lt;&gt;"",L118,_xlfn.TEXTJOIN(" · ",TRUE,IF(F118&lt;&gt;"","Fundador",""),IF(G118&lt;&gt;"","Anjo",""),IF(H118&lt;&gt;"","VC",""),IF(I118&lt;&gt;"","Gestão",""),IF(J118&lt;&gt;"","Conselho",""),IF(K118&lt;&gt;"","Buscapé","")))</f>
        <v>Anjo</v>
      </c>
      <c r="O118" s="5"/>
    </row>
    <row r="119" spans="1:18" x14ac:dyDescent="0.2">
      <c r="A119" s="5">
        <v>2070</v>
      </c>
      <c r="B119" s="5" t="s">
        <v>25</v>
      </c>
      <c r="C119" s="5"/>
      <c r="D119" t="s">
        <v>296</v>
      </c>
      <c r="F119" s="5"/>
      <c r="G119" s="5" t="s">
        <v>25</v>
      </c>
      <c r="H119" s="5"/>
      <c r="I119" s="5"/>
      <c r="J119" s="5"/>
      <c r="K119" s="5"/>
      <c r="M119" s="6" t="str">
        <f>IF(L119&lt;&gt;"",L119,_xlfn.TEXTJOIN(" · ",TRUE,IF(F119&lt;&gt;"","Fundador",""),IF(G119&lt;&gt;"","Anjo",""),IF(H119&lt;&gt;"","VC",""),IF(I119&lt;&gt;"","Gestão",""),IF(J119&lt;&gt;"","Conselho",""),IF(K119&lt;&gt;"","Buscapé","")))</f>
        <v>Anjo</v>
      </c>
      <c r="O119" s="5"/>
      <c r="Q119" t="s">
        <v>297</v>
      </c>
      <c r="R119" t="s">
        <v>298</v>
      </c>
    </row>
    <row r="120" spans="1:18" x14ac:dyDescent="0.2">
      <c r="A120" s="5">
        <v>2080</v>
      </c>
      <c r="B120" s="5" t="s">
        <v>25</v>
      </c>
      <c r="C120" s="5"/>
      <c r="D120" t="s">
        <v>299</v>
      </c>
      <c r="F120" s="5"/>
      <c r="G120" s="5" t="s">
        <v>25</v>
      </c>
      <c r="H120" s="5"/>
      <c r="I120" s="5"/>
      <c r="J120" s="5"/>
      <c r="K120" s="5"/>
      <c r="M120" s="6" t="str">
        <f>IF(L120&lt;&gt;"",L120,_xlfn.TEXTJOIN(" · ",TRUE,IF(F120&lt;&gt;"","Fundador",""),IF(G120&lt;&gt;"","Anjo",""),IF(H120&lt;&gt;"","VC",""),IF(I120&lt;&gt;"","Gestão",""),IF(J120&lt;&gt;"","Conselho",""),IF(K120&lt;&gt;"","Buscapé","")))</f>
        <v>Anjo</v>
      </c>
      <c r="O120" s="5"/>
      <c r="Q120" t="s">
        <v>300</v>
      </c>
    </row>
    <row r="121" spans="1:18" x14ac:dyDescent="0.2">
      <c r="A121" s="5">
        <v>2090</v>
      </c>
      <c r="B121" s="5" t="s">
        <v>25</v>
      </c>
      <c r="C121" s="5"/>
      <c r="D121" t="s">
        <v>304</v>
      </c>
      <c r="F121" s="5"/>
      <c r="G121" s="5" t="s">
        <v>25</v>
      </c>
      <c r="H121" s="5"/>
      <c r="I121" s="5"/>
      <c r="J121" s="5"/>
      <c r="K121" s="5"/>
      <c r="M121" s="6" t="str">
        <f>IF(L121&lt;&gt;"",L121,_xlfn.TEXTJOIN(" · ",TRUE,IF(F121&lt;&gt;"","Fundador",""),IF(G121&lt;&gt;"","Anjo",""),IF(H121&lt;&gt;"","VC",""),IF(I121&lt;&gt;"","Gestão",""),IF(J121&lt;&gt;"","Conselho",""),IF(K121&lt;&gt;"","Buscapé","")))</f>
        <v>Anjo</v>
      </c>
      <c r="O121" s="5"/>
      <c r="P121" t="s">
        <v>303</v>
      </c>
    </row>
    <row r="122" spans="1:18" x14ac:dyDescent="0.2">
      <c r="A122" s="5">
        <v>2100</v>
      </c>
      <c r="B122" s="5" t="s">
        <v>25</v>
      </c>
      <c r="C122" s="5"/>
      <c r="D122" t="s">
        <v>308</v>
      </c>
      <c r="F122" s="5"/>
      <c r="G122" s="5" t="s">
        <v>25</v>
      </c>
      <c r="H122" s="5"/>
      <c r="I122" s="5"/>
      <c r="J122" s="5"/>
      <c r="K122" s="5"/>
      <c r="M122" s="6" t="str">
        <f>IF(L122&lt;&gt;"",L122,_xlfn.TEXTJOIN(" · ",TRUE,IF(F122&lt;&gt;"","Fundador",""),IF(G122&lt;&gt;"","Anjo",""),IF(H122&lt;&gt;"","VC",""),IF(I122&lt;&gt;"","Gestão",""),IF(J122&lt;&gt;"","Conselho",""),IF(K122&lt;&gt;"","Buscapé","")))</f>
        <v>Anjo</v>
      </c>
      <c r="O122" s="5"/>
    </row>
    <row r="123" spans="1:18" x14ac:dyDescent="0.2">
      <c r="A123" s="5">
        <v>2110</v>
      </c>
      <c r="B123" s="5" t="s">
        <v>25</v>
      </c>
      <c r="C123" s="5"/>
      <c r="D123" t="s">
        <v>309</v>
      </c>
      <c r="F123" s="5"/>
      <c r="G123" s="5" t="s">
        <v>25</v>
      </c>
      <c r="H123" s="5"/>
      <c r="I123" s="5"/>
      <c r="J123" s="5"/>
      <c r="K123" s="5"/>
      <c r="M123" s="6" t="str">
        <f>IF(L123&lt;&gt;"",L123,_xlfn.TEXTJOIN(" · ",TRUE,IF(F123&lt;&gt;"","Fundador",""),IF(G123&lt;&gt;"","Anjo",""),IF(H123&lt;&gt;"","VC",""),IF(I123&lt;&gt;"","Gestão",""),IF(J123&lt;&gt;"","Conselho",""),IF(K123&lt;&gt;"","Buscapé","")))</f>
        <v>Anjo</v>
      </c>
      <c r="O123" s="5"/>
      <c r="P123" t="s">
        <v>44</v>
      </c>
      <c r="R123" t="s">
        <v>310</v>
      </c>
    </row>
    <row r="124" spans="1:18" x14ac:dyDescent="0.2">
      <c r="A124" s="5">
        <v>2120</v>
      </c>
      <c r="B124" s="5" t="s">
        <v>25</v>
      </c>
      <c r="C124" s="5"/>
      <c r="D124" t="s">
        <v>325</v>
      </c>
      <c r="F124" s="5"/>
      <c r="G124" s="5" t="s">
        <v>25</v>
      </c>
      <c r="H124" s="5"/>
      <c r="I124" s="5"/>
      <c r="J124" s="5"/>
      <c r="K124" s="5"/>
      <c r="M124" s="6" t="str">
        <f>IF(L124&lt;&gt;"",L124,_xlfn.TEXTJOIN(" · ",TRUE,IF(F124&lt;&gt;"","Fundador",""),IF(G124&lt;&gt;"","Anjo",""),IF(H124&lt;&gt;"","VC",""),IF(I124&lt;&gt;"","Gestão",""),IF(J124&lt;&gt;"","Conselho",""),IF(K124&lt;&gt;"","Buscapé","")))</f>
        <v>Anjo</v>
      </c>
      <c r="O124" s="5"/>
      <c r="R124" t="s">
        <v>326</v>
      </c>
    </row>
    <row r="125" spans="1:18" x14ac:dyDescent="0.2">
      <c r="A125" s="5">
        <v>2130</v>
      </c>
      <c r="B125" s="5" t="s">
        <v>25</v>
      </c>
      <c r="C125" s="5"/>
      <c r="D125" t="s">
        <v>330</v>
      </c>
      <c r="F125" s="5"/>
      <c r="G125" s="5" t="s">
        <v>25</v>
      </c>
      <c r="H125" s="5"/>
      <c r="I125" s="5"/>
      <c r="J125" s="5"/>
      <c r="K125" s="5"/>
      <c r="M125" s="6" t="str">
        <f>IF(L125&lt;&gt;"",L125,_xlfn.TEXTJOIN(" · ",TRUE,IF(F125&lt;&gt;"","Fundador",""),IF(G125&lt;&gt;"","Anjo",""),IF(H125&lt;&gt;"","VC",""),IF(I125&lt;&gt;"","Gestão",""),IF(J125&lt;&gt;"","Conselho",""),IF(K125&lt;&gt;"","Buscapé","")))</f>
        <v>Anjo</v>
      </c>
      <c r="O125" s="5"/>
      <c r="Q125" t="s">
        <v>331</v>
      </c>
      <c r="R125" t="s">
        <v>332</v>
      </c>
    </row>
    <row r="126" spans="1:18" x14ac:dyDescent="0.2">
      <c r="A126" s="5">
        <v>2140</v>
      </c>
      <c r="B126" s="5" t="s">
        <v>25</v>
      </c>
      <c r="C126" s="5"/>
      <c r="D126" t="s">
        <v>333</v>
      </c>
      <c r="F126" s="5"/>
      <c r="G126" s="5" t="s">
        <v>25</v>
      </c>
      <c r="H126" s="5"/>
      <c r="I126" s="5"/>
      <c r="J126" s="5"/>
      <c r="K126" s="5"/>
      <c r="M126" s="6" t="str">
        <f>IF(L126&lt;&gt;"",L126,_xlfn.TEXTJOIN(" · ",TRUE,IF(F126&lt;&gt;"","Fundador",""),IF(G126&lt;&gt;"","Anjo",""),IF(H126&lt;&gt;"","VC",""),IF(I126&lt;&gt;"","Gestão",""),IF(J126&lt;&gt;"","Conselho",""),IF(K126&lt;&gt;"","Buscapé","")))</f>
        <v>Anjo</v>
      </c>
      <c r="O126" s="5"/>
    </row>
    <row r="127" spans="1:18" x14ac:dyDescent="0.2">
      <c r="A127" s="5">
        <v>2150</v>
      </c>
      <c r="B127" s="5" t="s">
        <v>25</v>
      </c>
      <c r="C127" s="5"/>
      <c r="D127" t="s">
        <v>342</v>
      </c>
      <c r="F127" s="5"/>
      <c r="G127" s="5" t="s">
        <v>25</v>
      </c>
      <c r="H127" s="5"/>
      <c r="I127" s="5"/>
      <c r="J127" s="5"/>
      <c r="K127" s="5"/>
      <c r="M127" s="6" t="str">
        <f>IF(L127&lt;&gt;"",L127,_xlfn.TEXTJOIN(" · ",TRUE,IF(F127&lt;&gt;"","Fundador",""),IF(G127&lt;&gt;"","Anjo",""),IF(H127&lt;&gt;"","VC",""),IF(I127&lt;&gt;"","Gestão",""),IF(J127&lt;&gt;"","Conselho",""),IF(K127&lt;&gt;"","Buscapé","")))</f>
        <v>Anjo</v>
      </c>
      <c r="O127" s="5"/>
    </row>
  </sheetData>
  <autoFilter ref="A1:Y127" xr:uid="{00000000-0009-0000-0000-000001000000}">
    <sortState xmlns:xlrd2="http://schemas.microsoft.com/office/spreadsheetml/2017/richdata2" ref="A2:Y127">
      <sortCondition ref="A1:A127"/>
    </sortState>
  </autoFilter>
  <dataValidations count="1">
    <dataValidation type="list" allowBlank="1" errorTitle="Valor inválido" error="Use x para marcar ou deixe vazio." sqref="B2:B2000 F2:K2000" xr:uid="{00000000-0002-0000-0100-000000000000}">
      <formula1>"x"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1000000}">
          <x14:formula1>
            <xm:f>Listas!$A$2:$A$7</xm:f>
          </x14:formula1>
          <xm:sqref>P2:P2000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workbookViewId="0"/>
  </sheetViews>
  <sheetFormatPr baseColWidth="10" defaultColWidth="8.83203125" defaultRowHeight="15" x14ac:dyDescent="0.2"/>
  <cols>
    <col min="1" max="1" width="22" customWidth="1"/>
    <col min="2" max="4" width="20" customWidth="1"/>
  </cols>
  <sheetData>
    <row r="1" spans="1:4" x14ac:dyDescent="0.2">
      <c r="A1" t="s">
        <v>357</v>
      </c>
    </row>
    <row r="2" spans="1:4" x14ac:dyDescent="0.2">
      <c r="A2" t="s">
        <v>44</v>
      </c>
    </row>
    <row r="3" spans="1:4" x14ac:dyDescent="0.2">
      <c r="A3" t="s">
        <v>147</v>
      </c>
    </row>
    <row r="4" spans="1:4" x14ac:dyDescent="0.2">
      <c r="A4" t="s">
        <v>181</v>
      </c>
    </row>
    <row r="5" spans="1:4" x14ac:dyDescent="0.2">
      <c r="A5" t="s">
        <v>303</v>
      </c>
    </row>
    <row r="6" spans="1:4" x14ac:dyDescent="0.2">
      <c r="A6" t="s">
        <v>59</v>
      </c>
    </row>
    <row r="7" spans="1:4" x14ac:dyDescent="0.2">
      <c r="A7" t="s">
        <v>37</v>
      </c>
    </row>
    <row r="9" spans="1:4" x14ac:dyDescent="0.2">
      <c r="A9" t="s">
        <v>358</v>
      </c>
      <c r="B9" t="s">
        <v>359</v>
      </c>
      <c r="C9" t="s">
        <v>360</v>
      </c>
      <c r="D9" t="s">
        <v>361</v>
      </c>
    </row>
    <row r="10" spans="1:4" x14ac:dyDescent="0.2">
      <c r="A10" t="s">
        <v>5</v>
      </c>
      <c r="B10" t="s">
        <v>362</v>
      </c>
      <c r="C10" t="s">
        <v>5</v>
      </c>
      <c r="D10" t="s">
        <v>363</v>
      </c>
    </row>
    <row r="11" spans="1:4" x14ac:dyDescent="0.2">
      <c r="A11" t="s">
        <v>6</v>
      </c>
      <c r="B11" t="s">
        <v>364</v>
      </c>
      <c r="C11" t="s">
        <v>6</v>
      </c>
      <c r="D11" t="s">
        <v>6</v>
      </c>
    </row>
    <row r="12" spans="1:4" x14ac:dyDescent="0.2">
      <c r="A12" t="s">
        <v>7</v>
      </c>
      <c r="B12" t="s">
        <v>365</v>
      </c>
      <c r="C12" t="s">
        <v>366</v>
      </c>
      <c r="D12" t="s">
        <v>7</v>
      </c>
    </row>
    <row r="13" spans="1:4" x14ac:dyDescent="0.2">
      <c r="A13" t="s">
        <v>8</v>
      </c>
      <c r="B13" t="s">
        <v>367</v>
      </c>
      <c r="C13" t="s">
        <v>8</v>
      </c>
      <c r="D13" t="s">
        <v>8</v>
      </c>
    </row>
    <row r="14" spans="1:4" x14ac:dyDescent="0.2">
      <c r="A14" t="s">
        <v>9</v>
      </c>
      <c r="B14" t="s">
        <v>368</v>
      </c>
      <c r="C14" t="s">
        <v>369</v>
      </c>
      <c r="D14" t="s">
        <v>9</v>
      </c>
    </row>
    <row r="15" spans="1:4" x14ac:dyDescent="0.2">
      <c r="A15" t="s">
        <v>10</v>
      </c>
      <c r="B15" t="s">
        <v>370</v>
      </c>
      <c r="C15" t="s">
        <v>10</v>
      </c>
      <c r="D15" t="s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Como usar</vt:lpstr>
      <vt:lpstr>Empresas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Romero Rodrigues</cp:lastModifiedBy>
  <dcterms:created xsi:type="dcterms:W3CDTF">2026-09-21T20:58:32Z</dcterms:created>
  <dcterms:modified xsi:type="dcterms:W3CDTF">2026-09-21T21:35:15Z</dcterms:modified>
</cp:coreProperties>
</file>