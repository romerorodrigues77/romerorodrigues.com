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Listas" sheetId="3" state="visible" r:id="rId3"/>
  </sheets>
  <definedNames>
    <definedName name="_xlnm._FilterDatabase" localSheetId="1" hidden="1">'Empresas'!$A$1:$Z$128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portfolio.py</author>
  </authors>
  <commentList>
    <comment ref="A1" authorId="0" shapeId="0">
      <text>
        <t>Ordem no site: menor aparece primeiro. Use saltos de 10 para poder encaixar empresas no meio.</t>
      </text>
    </comment>
    <comment ref="B1" authorId="0" shapeId="0">
      <text>
        <t>x = aparece no site. Vazio = fica só na planilha.</t>
      </text>
    </comment>
    <comment ref="C1" authorId="0" shapeId="0">
      <text>
        <t>Número = aparece no carrossel da home, nessa ordem. Vazio = não aparece. Precisa de logo; sem site, o logo fica sem link.</t>
      </text>
    </comment>
    <comment ref="D1" authorId="0" shapeId="0">
      <text>
        <t>Nome usado na busca e no texto alternativo do logo.</t>
      </text>
    </comment>
    <comment ref="E1" authorId="0" shapeId="0">
      <text>
        <t>Opcional. Vazio = igual ao Nome.</t>
      </text>
    </comment>
    <comment ref="F1" authorId="0" shapeId="0">
      <text>
        <t>x = relação 'Fundação'. Pode marcar várias.</t>
      </text>
    </comment>
    <comment ref="G1" authorId="0" shapeId="0">
      <text>
        <t>x = relação 'Anjo'. Pode marcar várias.</t>
      </text>
    </comment>
    <comment ref="H1" authorId="0" shapeId="0">
      <text>
        <t>x = relação 'VC'. Pode marcar várias.</t>
      </text>
    </comment>
    <comment ref="I1" authorId="0" shapeId="0">
      <text>
        <t>x = relação 'Gestão'. Pode marcar várias.</t>
      </text>
    </comment>
    <comment ref="J1" authorId="0" shapeId="0">
      <text>
        <t>x = relação 'Conselho'. Pode marcar várias.</t>
      </text>
    </comment>
    <comment ref="K1" authorId="0" shapeId="0">
      <text>
        <t>x = relação 'Buscapé'. Pode marcar várias.</t>
      </text>
    </comment>
    <comment ref="L1" authorId="0" shapeId="0">
      <text>
        <t>Texto da relação no card. Vazio = gerado das colunas marcadas (ex.: 'Anjo · Conselho').</t>
      </text>
    </comment>
    <comment ref="M1" authorId="0" shapeId="0">
      <text>
        <t>Calculado. Só para conferência; o script ignora esta coluna.</t>
      </text>
    </comment>
    <comment ref="N1" authorId="0" shapeId="0">
      <text>
        <t>Segunda linha do card, ex.: 'Vendida à Visa'.</t>
      </text>
    </comment>
    <comment ref="O1" authorId="0" shapeId="0">
      <text>
        <t>Ano do início da relação.</t>
      </text>
    </comment>
    <comment ref="P1" authorId="0" shapeId="0">
      <text>
        <t>Texto no canto do card: Ativa, Saída, Encerrada, Adquirida · 2021, Listada na B3, US$ 1 bi · 2024...</t>
      </text>
    </comment>
    <comment ref="Q1" authorId="0" shapeId="0">
      <text>
        <t>URL do site. Vazio = card sem link.</t>
      </text>
    </comment>
    <comment ref="R1" authorId="0" shapeId="0">
      <text>
        <t>Opcional. Perfis da empresa em outros sites (Crunchbase, Wikidata, LinkedIn), separados por ';'. Não aparecem no card: vão para os dados estruturados (sameAs), que ligam a empresa à mesma empresa nesses sites.</t>
      </text>
    </comment>
    <comment ref="S1" authorId="0" shapeId="0">
      <text>
        <t>Arquivo em assets/img/logos/. Vazio = mostra o nome em texto.</t>
      </text>
    </comment>
    <comment ref="T1" authorId="0" shapeId="0">
      <text>
        <t>Opcional. Segundo logo empilhado (ex.: Movile + iFood).</t>
      </text>
    </comment>
    <comment ref="U1" authorId="0" shapeId="0">
      <text>
        <t>Opcional. Texto mostrado antes do logo (ex.: Bcash). Sem logo, o nome já aparece em texto.</t>
      </text>
    </comment>
    <comment ref="V1" authorId="0" shapeId="0">
      <text>
        <t>Opcional. Textos alternativos separados por ';', na ordem dos logos. Vazio = Nome.</t>
      </text>
    </comment>
    <comment ref="W1" authorId="0" shapeId="0">
      <text>
        <t>Link de uma matéria sobre a empresa.</t>
      </text>
    </comment>
    <comment ref="X1" authorId="0" shapeId="0">
      <text>
        <t>Título exibido no card.</t>
      </text>
    </comment>
    <comment ref="Y1" authorId="0" shapeId="0">
      <text>
        <t>Ex.: 'Brazil Journal · jul 2021'.</t>
      </text>
    </comment>
    <comment ref="Z1" authorId="0" shapeId="0">
      <text>
        <t>Não vai para o site.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Portfólio do site: fonte da verdade</t>
        </is>
      </c>
    </row>
    <row r="2">
      <c r="A2" t="inlineStr"/>
    </row>
    <row r="3">
      <c r="A3" t="inlineStr">
        <is>
          <t>Cada linha da aba Empresas é um card da página Portfólio. Edite aqui e depois peça ao Claude Code:</t>
        </is>
      </c>
    </row>
    <row r="4">
      <c r="A4" t="inlineStr">
        <is>
          <t xml:space="preserve">  "Atualize o site a partir da planilha do portfólio"  (roda: python3 scripts/portfolio.py build)</t>
        </is>
      </c>
    </row>
    <row r="5">
      <c r="A5" t="inlineStr"/>
    </row>
    <row r="6">
      <c r="A6" t="inlineStr">
        <is>
          <t>Prioridade: menor número aparece primeiro. Saltos de 10 deixam espaço para encaixar empresas.</t>
        </is>
      </c>
    </row>
    <row r="7">
      <c r="A7" t="inlineStr">
        <is>
          <t>Publicar: x = aparece no site. Tirar o x esconde a empresa sem apagar a linha.</t>
        </is>
      </c>
    </row>
    <row r="8">
      <c r="A8" t="inlineStr">
        <is>
          <t>Home: número = posição no carrossel de logos da home. Vazio = fora da home.</t>
        </is>
      </c>
    </row>
    <row r="9">
      <c r="A9" t="inlineStr">
        <is>
          <t>Relações (Fundação, Anjo, VC, Gestão, Conselho, Buscapé): marque x em quantas quiser.</t>
        </is>
      </c>
    </row>
    <row r="10">
      <c r="A10" t="inlineStr">
        <is>
          <t xml:space="preserve">  Elas definem os filtros e as contagens da página. O texto no card vem de Rótulo (opcional)</t>
        </is>
      </c>
    </row>
    <row r="11">
      <c r="A11" t="inlineStr">
        <is>
          <t xml:space="preserve">  ou, se vazio, é montado a partir das relações marcadas. A coluna Rótulo no site mostra o resultado.</t>
        </is>
      </c>
    </row>
    <row r="12">
      <c r="A12" t="inlineStr">
        <is>
          <t>Logo: nome do arquivo em assets/img/logos/. Para um logo novo, salve o arquivo lá (ex.: empresa.png) e escreva o nome aqui.</t>
        </is>
      </c>
    </row>
    <row r="13">
      <c r="A13" t="inlineStr">
        <is>
          <t>Matéria: link, título e fonte · data aparecem como destaque no card.</t>
        </is>
      </c>
    </row>
    <row r="14">
      <c r="A14" t="inlineStr">
        <is>
          <t>Perfis: links da empresa no Crunchbase, Wikidata ou LinkedIn, separados por ';'. Não aparecem no card;</t>
        </is>
      </c>
    </row>
    <row r="15">
      <c r="A15" t="inlineStr">
        <is>
          <t xml:space="preserve">  entram nos dados estruturados da página, para o Google e as IAs ligarem a empresa ao seu portfólio.</t>
        </is>
      </c>
    </row>
    <row r="16">
      <c r="A16" t="inlineStr">
        <is>
          <t>Observações internas não vão para o site.</t>
        </is>
      </c>
    </row>
    <row r="17">
      <c r="A17" t="inlineStr"/>
    </row>
    <row r="18">
      <c r="A18" t="inlineStr">
        <is>
          <t>Passe o mouse no cabeçalho de cada coluna para ver a explicação.</t>
        </is>
      </c>
    </row>
    <row r="19">
      <c r="A19" t="inlineStr">
        <is>
          <t>Não renomeie os cabeçalhos da aba Empresas: o script procura as colunas pelo nome.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26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0" customWidth="1" min="12" max="12"/>
    <col width="30" customWidth="1" min="13" max="13"/>
    <col width="26" customWidth="1" min="14" max="14"/>
    <col width="8" customWidth="1" min="15" max="15"/>
    <col width="20" customWidth="1" min="16" max="16"/>
    <col width="34" customWidth="1" min="17" max="17"/>
    <col width="40" customWidth="1" min="18" max="18"/>
    <col width="17" customWidth="1" min="19" max="19"/>
    <col width="17" customWidth="1" min="20" max="20"/>
    <col width="16" customWidth="1" min="21" max="21"/>
    <col width="22" customWidth="1" min="22" max="22"/>
    <col width="34" customWidth="1" min="23" max="23"/>
    <col width="28" customWidth="1" min="24" max="24"/>
    <col width="22" customWidth="1" min="25" max="25"/>
    <col width="36" customWidth="1" min="26" max="26"/>
  </cols>
  <sheetData>
    <row r="1" ht="32" customHeight="1">
      <c r="A1" s="2" t="inlineStr">
        <is>
          <t>Prioridade</t>
        </is>
      </c>
      <c r="B1" s="2" t="inlineStr">
        <is>
          <t>Publicar</t>
        </is>
      </c>
      <c r="C1" s="2" t="inlineStr">
        <is>
          <t>Home</t>
        </is>
      </c>
      <c r="D1" s="3" t="inlineStr">
        <is>
          <t>Nome</t>
        </is>
      </c>
      <c r="E1" s="3" t="inlineStr">
        <is>
          <t>Nome no card</t>
        </is>
      </c>
      <c r="F1" s="4" t="inlineStr">
        <is>
          <t>Fundação</t>
        </is>
      </c>
      <c r="G1" s="4" t="inlineStr">
        <is>
          <t>Anjo</t>
        </is>
      </c>
      <c r="H1" s="4" t="inlineStr">
        <is>
          <t>VC</t>
        </is>
      </c>
      <c r="I1" s="4" t="inlineStr">
        <is>
          <t>Gestão</t>
        </is>
      </c>
      <c r="J1" s="4" t="inlineStr">
        <is>
          <t>Conselho</t>
        </is>
      </c>
      <c r="K1" s="4" t="inlineStr">
        <is>
          <t>Buscapé</t>
        </is>
      </c>
      <c r="L1" s="3" t="inlineStr">
        <is>
          <t>Rótulo (opcional)</t>
        </is>
      </c>
      <c r="M1" s="3" t="inlineStr">
        <is>
          <t>Rótulo no site</t>
        </is>
      </c>
      <c r="N1" s="3" t="inlineStr">
        <is>
          <t>Nota</t>
        </is>
      </c>
      <c r="O1" s="2" t="inlineStr">
        <is>
          <t>Ano</t>
        </is>
      </c>
      <c r="P1" s="3" t="inlineStr">
        <is>
          <t>Status</t>
        </is>
      </c>
      <c r="Q1" s="3" t="inlineStr">
        <is>
          <t>Site</t>
        </is>
      </c>
      <c r="R1" s="3" t="inlineStr">
        <is>
          <t>Perfis</t>
        </is>
      </c>
      <c r="S1" s="3" t="inlineStr">
        <is>
          <t>Logo</t>
        </is>
      </c>
      <c r="T1" s="3" t="inlineStr">
        <is>
          <t>Logo 2</t>
        </is>
      </c>
      <c r="U1" s="3" t="inlineStr">
        <is>
          <t>Logo em texto</t>
        </is>
      </c>
      <c r="V1" s="3" t="inlineStr">
        <is>
          <t>Alt dos logos</t>
        </is>
      </c>
      <c r="W1" s="3" t="inlineStr">
        <is>
          <t>Matéria (link)</t>
        </is>
      </c>
      <c r="X1" s="3" t="inlineStr">
        <is>
          <t>Matéria (título)</t>
        </is>
      </c>
      <c r="Y1" s="3" t="inlineStr">
        <is>
          <t>Matéria (fonte · data)</t>
        </is>
      </c>
      <c r="Z1" s="3" t="inlineStr">
        <is>
          <t>Observações internas</t>
        </is>
      </c>
    </row>
    <row r="2">
      <c r="A2" s="5" t="inlineStr">
        <is>
          <t>10</t>
        </is>
      </c>
      <c r="B2" s="5" t="inlineStr">
        <is>
          <t>x</t>
        </is>
      </c>
      <c r="C2" s="5" t="inlineStr">
        <is>
          <t>1</t>
        </is>
      </c>
      <c r="D2" t="inlineStr">
        <is>
          <t>Buscapé</t>
        </is>
      </c>
      <c r="E2" t="inlineStr"/>
      <c r="F2" s="5" t="inlineStr">
        <is>
          <t>x</t>
        </is>
      </c>
      <c r="G2" s="5" t="inlineStr"/>
      <c r="H2" s="5" t="inlineStr"/>
      <c r="I2" s="5" t="inlineStr">
        <is>
          <t>x</t>
        </is>
      </c>
      <c r="J2" s="5" t="inlineStr"/>
      <c r="K2" s="5" t="inlineStr"/>
      <c r="L2" t="inlineStr">
        <is>
          <t>Fundador e CEO · Pres. do conselho</t>
        </is>
      </c>
      <c r="M2" s="6">
        <f>IF(L2&lt;&gt;"",L2,_xlfn.TEXTJOIN(" · ",TRUE,IF(F2&lt;&gt;"","Fundador",""),IF(G2&lt;&gt;"","Anjo",""),IF(H2&lt;&gt;"","VC",""),IF(I2&lt;&gt;"","Gestão",""),IF(J2&lt;&gt;"","Conselho",""),IF(K2&lt;&gt;"","Buscapé","")))</f>
        <v/>
      </c>
      <c r="N2" t="inlineStr">
        <is>
          <t>Vendida à Naspers/Prosus</t>
        </is>
      </c>
      <c r="O2" s="5" t="inlineStr">
        <is>
          <t>1998</t>
        </is>
      </c>
      <c r="P2" t="inlineStr">
        <is>
          <t>US$ 374M · 2009</t>
        </is>
      </c>
      <c r="Q2" t="inlineStr">
        <is>
          <t>https://www.buscape.com.br</t>
        </is>
      </c>
      <c r="R2" t="inlineStr">
        <is>
          <t>https://www.crunchbase.com/organization/buscap-company</t>
        </is>
      </c>
      <c r="S2" t="inlineStr">
        <is>
          <t>buscape-2026.png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s="5" t="inlineStr">
        <is>
          <t>20</t>
        </is>
      </c>
      <c r="B3" s="5" t="inlineStr">
        <is>
          <t>x</t>
        </is>
      </c>
      <c r="C3" s="5" t="inlineStr">
        <is>
          <t>2</t>
        </is>
      </c>
      <c r="D3" t="inlineStr">
        <is>
          <t>Pismo</t>
        </is>
      </c>
      <c r="E3" t="inlineStr"/>
      <c r="F3" s="5" t="inlineStr"/>
      <c r="G3" s="5" t="inlineStr"/>
      <c r="H3" s="5" t="inlineStr">
        <is>
          <t>x</t>
        </is>
      </c>
      <c r="I3" s="5" t="inlineStr"/>
      <c r="J3" s="5" t="inlineStr">
        <is>
          <t>x</t>
        </is>
      </c>
      <c r="K3" s="5" t="inlineStr"/>
      <c r="L3" t="inlineStr"/>
      <c r="M3" s="6">
        <f>IF(L3&lt;&gt;"",L3,_xlfn.TEXTJOIN(" · ",TRUE,IF(F3&lt;&gt;"","Fundador",""),IF(G3&lt;&gt;"","Anjo",""),IF(H3&lt;&gt;"","VC",""),IF(I3&lt;&gt;"","Gestão",""),IF(J3&lt;&gt;"","Conselho",""),IF(K3&lt;&gt;"","Buscapé","")))</f>
        <v/>
      </c>
      <c r="N3" t="inlineStr">
        <is>
          <t>Vendida à Visa</t>
        </is>
      </c>
      <c r="O3" s="5" t="inlineStr">
        <is>
          <t>2015</t>
        </is>
      </c>
      <c r="P3" t="inlineStr">
        <is>
          <t>US$ 1 bi · 2024</t>
        </is>
      </c>
      <c r="Q3" t="inlineStr">
        <is>
          <t>https://www.pismo.io/</t>
        </is>
      </c>
      <c r="R3" t="inlineStr">
        <is>
          <t>https://www.crunchbase.com/organization/pismo</t>
        </is>
      </c>
      <c r="S3" t="inlineStr">
        <is>
          <t>pismo.png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s="5" t="inlineStr">
        <is>
          <t>30</t>
        </is>
      </c>
      <c r="B4" s="5" t="inlineStr">
        <is>
          <t>x</t>
        </is>
      </c>
      <c r="C4" s="5" t="inlineStr">
        <is>
          <t>3</t>
        </is>
      </c>
      <c r="D4" t="inlineStr">
        <is>
          <t>Wellhub</t>
        </is>
      </c>
      <c r="E4" t="inlineStr"/>
      <c r="F4" s="5" t="inlineStr"/>
      <c r="G4" s="5" t="inlineStr">
        <is>
          <t>x</t>
        </is>
      </c>
      <c r="H4" s="5" t="inlineStr">
        <is>
          <t>x</t>
        </is>
      </c>
      <c r="I4" s="5" t="inlineStr"/>
      <c r="J4" s="5" t="inlineStr"/>
      <c r="K4" s="5" t="inlineStr"/>
      <c r="L4" t="inlineStr"/>
      <c r="M4" s="6">
        <f>IF(L4&lt;&gt;"",L4,_xlfn.TEXTJOIN(" · ",TRUE,IF(F4&lt;&gt;"","Fundador",""),IF(G4&lt;&gt;"","Anjo",""),IF(H4&lt;&gt;"","VC",""),IF(I4&lt;&gt;"","Gestão",""),IF(J4&lt;&gt;"","Conselho",""),IF(K4&lt;&gt;"","Buscapé","")))</f>
        <v/>
      </c>
      <c r="N4" t="inlineStr"/>
      <c r="O4" s="5" t="inlineStr">
        <is>
          <t>2013</t>
        </is>
      </c>
      <c r="P4" t="inlineStr"/>
      <c r="Q4" t="inlineStr">
        <is>
          <t>https://wellhub.com/pt-br/</t>
        </is>
      </c>
      <c r="R4" t="inlineStr">
        <is>
          <t>https://www.crunchbase.com/organization/gympass</t>
        </is>
      </c>
      <c r="S4" t="inlineStr">
        <is>
          <t>wellhub.png</t>
        </is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s="5" t="inlineStr">
        <is>
          <t>40</t>
        </is>
      </c>
      <c r="B5" s="5" t="inlineStr">
        <is>
          <t>x</t>
        </is>
      </c>
      <c r="C5" s="5" t="inlineStr">
        <is>
          <t>4</t>
        </is>
      </c>
      <c r="D5" t="inlineStr">
        <is>
          <t>Wayfair</t>
        </is>
      </c>
      <c r="E5" t="inlineStr"/>
      <c r="F5" s="5" t="inlineStr"/>
      <c r="G5" s="5" t="inlineStr">
        <is>
          <t>x</t>
        </is>
      </c>
      <c r="H5" s="5" t="inlineStr"/>
      <c r="I5" s="5" t="inlineStr"/>
      <c r="J5" s="5" t="inlineStr">
        <is>
          <t>x</t>
        </is>
      </c>
      <c r="K5" s="5" t="inlineStr"/>
      <c r="L5" t="inlineStr"/>
      <c r="M5" s="6">
        <f>IF(L5&lt;&gt;"",L5,_xlfn.TEXTJOIN(" · ",TRUE,IF(F5&lt;&gt;"","Fundador",""),IF(G5&lt;&gt;"","Anjo",""),IF(H5&lt;&gt;"","VC",""),IF(I5&lt;&gt;"","Gestão",""),IF(J5&lt;&gt;"","Conselho",""),IF(K5&lt;&gt;"","Buscapé","")))</f>
        <v/>
      </c>
      <c r="N5" t="inlineStr"/>
      <c r="O5" s="5" t="inlineStr">
        <is>
          <t>2014</t>
        </is>
      </c>
      <c r="P5" t="inlineStr">
        <is>
          <t>Listada na NYSE</t>
        </is>
      </c>
      <c r="Q5" t="inlineStr">
        <is>
          <t>https://www.wayfair.com</t>
        </is>
      </c>
      <c r="R5" t="inlineStr">
        <is>
          <t>https://www.crunchbase.com/organization/wayfair</t>
        </is>
      </c>
      <c r="S5" t="inlineStr">
        <is>
          <t>wayfair.png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s="5" t="inlineStr">
        <is>
          <t>50</t>
        </is>
      </c>
      <c r="B6" s="5" t="inlineStr">
        <is>
          <t>x</t>
        </is>
      </c>
      <c r="C6" s="5" t="inlineStr">
        <is>
          <t>5</t>
        </is>
      </c>
      <c r="D6" t="inlineStr">
        <is>
          <t>Olist</t>
        </is>
      </c>
      <c r="E6" t="inlineStr"/>
      <c r="F6" s="5" t="inlineStr"/>
      <c r="G6" s="5" t="inlineStr"/>
      <c r="H6" s="5" t="inlineStr">
        <is>
          <t>x</t>
        </is>
      </c>
      <c r="I6" s="5" t="inlineStr"/>
      <c r="J6" s="5" t="inlineStr">
        <is>
          <t>x</t>
        </is>
      </c>
      <c r="K6" s="5" t="inlineStr"/>
      <c r="L6" t="inlineStr"/>
      <c r="M6" s="6">
        <f>IF(L6&lt;&gt;"",L6,_xlfn.TEXTJOIN(" · ",TRUE,IF(F6&lt;&gt;"","Fundador",""),IF(G6&lt;&gt;"","Anjo",""),IF(H6&lt;&gt;"","VC",""),IF(I6&lt;&gt;"","Gestão",""),IF(J6&lt;&gt;"","Conselho",""),IF(K6&lt;&gt;"","Buscapé","")))</f>
        <v/>
      </c>
      <c r="N6" t="inlineStr"/>
      <c r="O6" s="5" t="inlineStr">
        <is>
          <t>2015</t>
        </is>
      </c>
      <c r="P6" t="inlineStr">
        <is>
          <t>Ativa</t>
        </is>
      </c>
      <c r="Q6" t="inlineStr">
        <is>
          <t>https://olist.com</t>
        </is>
      </c>
      <c r="R6" t="inlineStr">
        <is>
          <t>https://www.crunchbase.com/organization/olist</t>
        </is>
      </c>
      <c r="S6" t="inlineStr">
        <is>
          <t>olist.png</t>
        </is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s="5" t="inlineStr">
        <is>
          <t>60</t>
        </is>
      </c>
      <c r="B7" s="5" t="inlineStr">
        <is>
          <t>x</t>
        </is>
      </c>
      <c r="C7" s="5" t="inlineStr">
        <is>
          <t>6</t>
        </is>
      </c>
      <c r="D7" t="inlineStr">
        <is>
          <t>Hotmart</t>
        </is>
      </c>
      <c r="E7" t="inlineStr"/>
      <c r="F7" s="5" t="inlineStr"/>
      <c r="G7" s="5" t="inlineStr"/>
      <c r="H7" s="5" t="inlineStr"/>
      <c r="I7" s="5" t="inlineStr"/>
      <c r="J7" s="5" t="inlineStr"/>
      <c r="K7" s="5" t="inlineStr">
        <is>
          <t>x</t>
        </is>
      </c>
      <c r="L7" t="inlineStr"/>
      <c r="M7" s="6">
        <f>IF(L7&lt;&gt;"",L7,_xlfn.TEXTJOIN(" · ",TRUE,IF(F7&lt;&gt;"","Fundador",""),IF(G7&lt;&gt;"","Anjo",""),IF(H7&lt;&gt;"","VC",""),IF(I7&lt;&gt;"","Gestão",""),IF(J7&lt;&gt;"","Conselho",""),IF(K7&lt;&gt;"","Buscapé","")))</f>
        <v/>
      </c>
      <c r="N7" t="inlineStr"/>
      <c r="O7" s="5" t="inlineStr">
        <is>
          <t>2011</t>
        </is>
      </c>
      <c r="P7" t="inlineStr"/>
      <c r="Q7" t="inlineStr">
        <is>
          <t>https://hotmart.com/en</t>
        </is>
      </c>
      <c r="R7" t="inlineStr">
        <is>
          <t>https://www.crunchbase.com/organization/hotmart</t>
        </is>
      </c>
      <c r="S7" t="inlineStr">
        <is>
          <t>hotmart.png</t>
        </is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s="5" t="inlineStr">
        <is>
          <t>70</t>
        </is>
      </c>
      <c r="B8" s="5" t="inlineStr">
        <is>
          <t>x</t>
        </is>
      </c>
      <c r="C8" s="5" t="inlineStr">
        <is>
          <t>7</t>
        </is>
      </c>
      <c r="D8" t="inlineStr">
        <is>
          <t>Headline Brasil</t>
        </is>
      </c>
      <c r="E8" t="inlineStr"/>
      <c r="F8" s="5" t="inlineStr"/>
      <c r="G8" s="5" t="inlineStr"/>
      <c r="H8" s="5" t="inlineStr"/>
      <c r="I8" s="5" t="inlineStr">
        <is>
          <t>x</t>
        </is>
      </c>
      <c r="J8" s="5" t="inlineStr"/>
      <c r="K8" s="5" t="inlineStr"/>
      <c r="L8" t="inlineStr">
        <is>
          <t>Sócio de gestora</t>
        </is>
      </c>
      <c r="M8" s="6">
        <f>IF(L8&lt;&gt;"",L8,_xlfn.TEXTJOIN(" · ",TRUE,IF(F8&lt;&gt;"","Fundador",""),IF(G8&lt;&gt;"","Anjo",""),IF(H8&lt;&gt;"","VC",""),IF(I8&lt;&gt;"","Gestão",""),IF(J8&lt;&gt;"","Conselho",""),IF(K8&lt;&gt;"","Buscapé","")))</f>
        <v/>
      </c>
      <c r="N8" t="inlineStr"/>
      <c r="O8" s="5" t="inlineStr">
        <is>
          <t>2021</t>
        </is>
      </c>
      <c r="P8" t="inlineStr"/>
      <c r="Q8" t="inlineStr">
        <is>
          <t>https://headline.com</t>
        </is>
      </c>
      <c r="R8" t="inlineStr">
        <is>
          <t>https://www.crunchbase.com/organization/headlinevc</t>
        </is>
      </c>
      <c r="S8" t="inlineStr">
        <is>
          <t>headline-brasil.png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s="5" t="inlineStr">
        <is>
          <t>80</t>
        </is>
      </c>
      <c r="B9" s="5" t="inlineStr">
        <is>
          <t>x</t>
        </is>
      </c>
      <c r="C9" s="5" t="inlineStr">
        <is>
          <t>8</t>
        </is>
      </c>
      <c r="D9" t="inlineStr">
        <is>
          <t>Endeavor Brasil</t>
        </is>
      </c>
      <c r="E9" t="inlineStr"/>
      <c r="F9" s="5" t="inlineStr"/>
      <c r="G9" s="5" t="inlineStr"/>
      <c r="H9" s="5" t="inlineStr"/>
      <c r="I9" s="5" t="inlineStr"/>
      <c r="J9" s="5" t="inlineStr">
        <is>
          <t>x</t>
        </is>
      </c>
      <c r="K9" s="5" t="inlineStr"/>
      <c r="L9" t="inlineStr"/>
      <c r="M9" s="6">
        <f>IF(L9&lt;&gt;"",L9,_xlfn.TEXTJOIN(" · ",TRUE,IF(F9&lt;&gt;"","Fundador",""),IF(G9&lt;&gt;"","Anjo",""),IF(H9&lt;&gt;"","VC",""),IF(I9&lt;&gt;"","Gestão",""),IF(J9&lt;&gt;"","Conselho",""),IF(K9&lt;&gt;"","Buscapé","")))</f>
        <v/>
      </c>
      <c r="N9" t="inlineStr"/>
      <c r="O9" s="5" t="inlineStr">
        <is>
          <t>2012</t>
        </is>
      </c>
      <c r="P9" t="inlineStr"/>
      <c r="Q9" t="inlineStr">
        <is>
          <t>https://brasil.endeavor.org/</t>
        </is>
      </c>
      <c r="R9" t="inlineStr">
        <is>
          <t>https://www.crunchbase.com/organization/endeavor-brasil</t>
        </is>
      </c>
      <c r="S9" t="inlineStr">
        <is>
          <t>endeavor-brasil.png</t>
        </is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s="5" t="inlineStr">
        <is>
          <t>90</t>
        </is>
      </c>
      <c r="B10" s="5" t="inlineStr">
        <is>
          <t>x</t>
        </is>
      </c>
      <c r="C10" s="5" t="inlineStr">
        <is>
          <t>9</t>
        </is>
      </c>
      <c r="D10" t="inlineStr">
        <is>
          <t>TOTVS</t>
        </is>
      </c>
      <c r="E10" t="inlineStr"/>
      <c r="F10" s="5" t="inlineStr"/>
      <c r="G10" s="5" t="inlineStr"/>
      <c r="H10" s="5" t="inlineStr"/>
      <c r="I10" s="5" t="inlineStr"/>
      <c r="J10" s="5" t="inlineStr">
        <is>
          <t>x</t>
        </is>
      </c>
      <c r="K10" s="5" t="inlineStr"/>
      <c r="L10" t="inlineStr"/>
      <c r="M10" s="6">
        <f>IF(L10&lt;&gt;"",L10,_xlfn.TEXTJOIN(" · ",TRUE,IF(F10&lt;&gt;"","Fundador",""),IF(G10&lt;&gt;"","Anjo",""),IF(H10&lt;&gt;"","VC",""),IF(I10&lt;&gt;"","Gestão",""),IF(J10&lt;&gt;"","Conselho",""),IF(K10&lt;&gt;"","Buscapé","")))</f>
        <v/>
      </c>
      <c r="N10" t="inlineStr"/>
      <c r="O10" s="5" t="inlineStr">
        <is>
          <t>2014</t>
        </is>
      </c>
      <c r="P10" t="inlineStr">
        <is>
          <t>Listada na B3</t>
        </is>
      </c>
      <c r="Q10" t="inlineStr">
        <is>
          <t>https://www.totvs.com</t>
        </is>
      </c>
      <c r="R10" t="inlineStr">
        <is>
          <t>https://www.crunchbase.com/organization/totvs</t>
        </is>
      </c>
      <c r="S10" t="inlineStr">
        <is>
          <t>totvs.png</t>
        </is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5" t="inlineStr">
        <is>
          <t>100</t>
        </is>
      </c>
      <c r="B11" s="5" t="inlineStr">
        <is>
          <t>x</t>
        </is>
      </c>
      <c r="C11" s="5" t="inlineStr">
        <is>
          <t>10</t>
        </is>
      </c>
      <c r="D11" t="inlineStr">
        <is>
          <t>VTEX</t>
        </is>
      </c>
      <c r="E11" t="inlineStr"/>
      <c r="F11" s="5" t="inlineStr"/>
      <c r="G11" s="5" t="inlineStr">
        <is>
          <t>x</t>
        </is>
      </c>
      <c r="H11" s="5" t="inlineStr"/>
      <c r="I11" s="5" t="inlineStr"/>
      <c r="J11" s="5" t="inlineStr"/>
      <c r="K11" s="5" t="inlineStr">
        <is>
          <t>x</t>
        </is>
      </c>
      <c r="L11" t="inlineStr"/>
      <c r="M11" s="6">
        <f>IF(L11&lt;&gt;"",L11,_xlfn.TEXTJOIN(" · ",TRUE,IF(F11&lt;&gt;"","Fundador",""),IF(G11&lt;&gt;"","Anjo",""),IF(H11&lt;&gt;"","VC",""),IF(I11&lt;&gt;"","Gestão",""),IF(J11&lt;&gt;"","Conselho",""),IF(K11&lt;&gt;"","Buscapé","")))</f>
        <v/>
      </c>
      <c r="N11" t="inlineStr"/>
      <c r="O11" s="5" t="inlineStr">
        <is>
          <t>2004</t>
        </is>
      </c>
      <c r="P11" t="inlineStr"/>
      <c r="Q11" t="inlineStr">
        <is>
          <t>https://www.vtex.com/en-us</t>
        </is>
      </c>
      <c r="R11" t="inlineStr">
        <is>
          <t>https://www.crunchbase.com/organization/vtex</t>
        </is>
      </c>
      <c r="S11" t="inlineStr">
        <is>
          <t>vtex.png</t>
        </is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5" t="inlineStr">
        <is>
          <t>110</t>
        </is>
      </c>
      <c r="B12" s="5" t="inlineStr">
        <is>
          <t>x</t>
        </is>
      </c>
      <c r="C12" s="5" t="inlineStr">
        <is>
          <t>11</t>
        </is>
      </c>
      <c r="D12" t="inlineStr">
        <is>
          <t>Movile</t>
        </is>
      </c>
      <c r="E12" t="inlineStr">
        <is>
          <t>Movile · iFood</t>
        </is>
      </c>
      <c r="F12" s="5" t="inlineStr"/>
      <c r="G12" s="5" t="inlineStr">
        <is>
          <t>x</t>
        </is>
      </c>
      <c r="H12" s="5" t="inlineStr"/>
      <c r="I12" s="5" t="inlineStr"/>
      <c r="J12" s="5" t="inlineStr">
        <is>
          <t>x</t>
        </is>
      </c>
      <c r="K12" s="5" t="inlineStr"/>
      <c r="L12" t="inlineStr"/>
      <c r="M12" s="6">
        <f>IF(L12&lt;&gt;"",L12,_xlfn.TEXTJOIN(" · ",TRUE,IF(F12&lt;&gt;"","Fundador",""),IF(G12&lt;&gt;"","Anjo",""),IF(H12&lt;&gt;"","VC",""),IF(I12&lt;&gt;"","Gestão",""),IF(J12&lt;&gt;"","Conselho",""),IF(K12&lt;&gt;"","Buscapé","")))</f>
        <v/>
      </c>
      <c r="N12" t="inlineStr"/>
      <c r="O12" s="5" t="inlineStr">
        <is>
          <t>2010</t>
        </is>
      </c>
      <c r="P12" t="inlineStr"/>
      <c r="Q12" t="inlineStr">
        <is>
          <t>https://www.ifood.com.br/</t>
        </is>
      </c>
      <c r="R12" t="inlineStr">
        <is>
          <t>https://www.crunchbase.com/organization/movile-latin-america</t>
        </is>
      </c>
      <c r="S12" t="inlineStr">
        <is>
          <t>movile.png</t>
        </is>
      </c>
      <c r="T12" t="inlineStr">
        <is>
          <t>ifood.png</t>
        </is>
      </c>
      <c r="U12" t="inlineStr"/>
      <c r="V12" t="inlineStr">
        <is>
          <t>Movile; iFood</t>
        </is>
      </c>
      <c r="W12" t="inlineStr"/>
      <c r="X12" t="inlineStr"/>
      <c r="Y12" t="inlineStr"/>
      <c r="Z12" t="inlineStr"/>
    </row>
    <row r="13">
      <c r="A13" s="5" t="inlineStr">
        <is>
          <t>120</t>
        </is>
      </c>
      <c r="B13" s="5" t="inlineStr">
        <is>
          <t>x</t>
        </is>
      </c>
      <c r="C13" s="5" t="inlineStr">
        <is>
          <t>12</t>
        </is>
      </c>
      <c r="D13" t="inlineStr">
        <is>
          <t>Rappi</t>
        </is>
      </c>
      <c r="E13" t="inlineStr"/>
      <c r="F13" s="5" t="inlineStr"/>
      <c r="G13" s="5" t="inlineStr"/>
      <c r="H13" s="5" t="inlineStr">
        <is>
          <t>x</t>
        </is>
      </c>
      <c r="I13" s="5" t="inlineStr"/>
      <c r="J13" s="5" t="inlineStr"/>
      <c r="K13" s="5" t="inlineStr"/>
      <c r="L13" t="inlineStr"/>
      <c r="M13" s="6">
        <f>IF(L13&lt;&gt;"",L13,_xlfn.TEXTJOIN(" · ",TRUE,IF(F13&lt;&gt;"","Fundador",""),IF(G13&lt;&gt;"","Anjo",""),IF(H13&lt;&gt;"","VC",""),IF(I13&lt;&gt;"","Gestão",""),IF(J13&lt;&gt;"","Conselho",""),IF(K13&lt;&gt;"","Buscapé","")))</f>
        <v/>
      </c>
      <c r="N13" t="inlineStr"/>
      <c r="O13" s="5" t="inlineStr"/>
      <c r="P13" t="inlineStr"/>
      <c r="Q13" t="inlineStr">
        <is>
          <t>https://www.rappi.com.br</t>
        </is>
      </c>
      <c r="R13" t="inlineStr">
        <is>
          <t>https://www.crunchbase.com/organization/rappi</t>
        </is>
      </c>
      <c r="S13" t="inlineStr">
        <is>
          <t>rappi.png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5" t="inlineStr">
        <is>
          <t>130</t>
        </is>
      </c>
      <c r="B14" s="5" t="inlineStr">
        <is>
          <t>x</t>
        </is>
      </c>
      <c r="C14" s="5" t="inlineStr">
        <is>
          <t>13</t>
        </is>
      </c>
      <c r="D14" t="inlineStr">
        <is>
          <t>Zup</t>
        </is>
      </c>
      <c r="E14" t="inlineStr"/>
      <c r="F14" s="5" t="inlineStr"/>
      <c r="G14" s="5" t="inlineStr">
        <is>
          <t>x</t>
        </is>
      </c>
      <c r="H14" s="5" t="inlineStr"/>
      <c r="I14" s="5" t="inlineStr"/>
      <c r="J14" s="5" t="inlineStr"/>
      <c r="K14" s="5" t="inlineStr"/>
      <c r="L14" t="inlineStr"/>
      <c r="M14" s="6">
        <f>IF(L14&lt;&gt;"",L14,_xlfn.TEXTJOIN(" · ",TRUE,IF(F14&lt;&gt;"","Fundador",""),IF(G14&lt;&gt;"","Anjo",""),IF(H14&lt;&gt;"","VC",""),IF(I14&lt;&gt;"","Gestão",""),IF(J14&lt;&gt;"","Conselho",""),IF(K14&lt;&gt;"","Buscapé","")))</f>
        <v/>
      </c>
      <c r="N14" t="inlineStr"/>
      <c r="O14" s="5" t="inlineStr"/>
      <c r="P14" t="inlineStr"/>
      <c r="Q14" t="inlineStr">
        <is>
          <t>https://zup.com.br/</t>
        </is>
      </c>
      <c r="R14" t="inlineStr">
        <is>
          <t>https://www.crunchbase.com/organization/zup-it-innovation</t>
        </is>
      </c>
      <c r="S14" t="inlineStr">
        <is>
          <t>zup.png</t>
        </is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5" t="inlineStr">
        <is>
          <t>140</t>
        </is>
      </c>
      <c r="B15" s="5" t="inlineStr">
        <is>
          <t>x</t>
        </is>
      </c>
      <c r="C15" s="5" t="inlineStr">
        <is>
          <t>14</t>
        </is>
      </c>
      <c r="D15" t="inlineStr">
        <is>
          <t>Jive</t>
        </is>
      </c>
      <c r="E15" t="inlineStr"/>
      <c r="F15" s="5" t="inlineStr"/>
      <c r="G15" s="5" t="inlineStr">
        <is>
          <t>x</t>
        </is>
      </c>
      <c r="H15" s="5" t="inlineStr"/>
      <c r="I15" s="5" t="inlineStr"/>
      <c r="J15" s="5" t="inlineStr"/>
      <c r="K15" s="5" t="inlineStr"/>
      <c r="L15" t="inlineStr"/>
      <c r="M15" s="6">
        <f>IF(L15&lt;&gt;"",L15,_xlfn.TEXTJOIN(" · ",TRUE,IF(F15&lt;&gt;"","Fundador",""),IF(G15&lt;&gt;"","Anjo",""),IF(H15&lt;&gt;"","VC",""),IF(I15&lt;&gt;"","Gestão",""),IF(J15&lt;&gt;"","Conselho",""),IF(K15&lt;&gt;"","Buscapé","")))</f>
        <v/>
      </c>
      <c r="N15" t="inlineStr"/>
      <c r="O15" s="5" t="inlineStr">
        <is>
          <t>2010</t>
        </is>
      </c>
      <c r="P15" t="inlineStr"/>
      <c r="Q15" t="inlineStr">
        <is>
          <t>https://jivemaua.com.br:443/</t>
        </is>
      </c>
      <c r="R15" t="inlineStr">
        <is>
          <t>https://www.crunchbase.com/organization/jive-investments</t>
        </is>
      </c>
      <c r="S15" t="inlineStr">
        <is>
          <t>jive.png</t>
        </is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5" t="inlineStr">
        <is>
          <t>150</t>
        </is>
      </c>
      <c r="B16" s="5" t="inlineStr">
        <is>
          <t>x</t>
        </is>
      </c>
      <c r="C16" s="5" t="inlineStr">
        <is>
          <t>15</t>
        </is>
      </c>
      <c r="D16" t="inlineStr">
        <is>
          <t>Ascenty</t>
        </is>
      </c>
      <c r="E16" t="inlineStr"/>
      <c r="F16" s="5" t="inlineStr"/>
      <c r="G16" s="5" t="inlineStr">
        <is>
          <t>x</t>
        </is>
      </c>
      <c r="H16" s="5" t="inlineStr"/>
      <c r="I16" s="5" t="inlineStr"/>
      <c r="J16" s="5" t="inlineStr">
        <is>
          <t>x</t>
        </is>
      </c>
      <c r="K16" s="5" t="inlineStr"/>
      <c r="L16" t="inlineStr"/>
      <c r="M16" s="6">
        <f>IF(L16&lt;&gt;"",L16,_xlfn.TEXTJOIN(" · ",TRUE,IF(F16&lt;&gt;"","Fundador",""),IF(G16&lt;&gt;"","Anjo",""),IF(H16&lt;&gt;"","VC",""),IF(I16&lt;&gt;"","Gestão",""),IF(J16&lt;&gt;"","Conselho",""),IF(K16&lt;&gt;"","Buscapé","")))</f>
        <v/>
      </c>
      <c r="N16" t="inlineStr"/>
      <c r="O16" s="5" t="inlineStr">
        <is>
          <t>2013</t>
        </is>
      </c>
      <c r="P16" t="inlineStr">
        <is>
          <t>Ativa</t>
        </is>
      </c>
      <c r="Q16" t="inlineStr">
        <is>
          <t>https://ascenty.com/</t>
        </is>
      </c>
      <c r="R16" t="inlineStr">
        <is>
          <t>https://www.crunchbase.com/organization/ascenty</t>
        </is>
      </c>
      <c r="S16" t="inlineStr">
        <is>
          <t>ascenty.png</t>
        </is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5" t="inlineStr">
        <is>
          <t>160</t>
        </is>
      </c>
      <c r="B17" s="5" t="inlineStr">
        <is>
          <t>x</t>
        </is>
      </c>
      <c r="C17" s="5" t="inlineStr">
        <is>
          <t>16</t>
        </is>
      </c>
      <c r="D17" t="inlineStr">
        <is>
          <t>RecargaPay</t>
        </is>
      </c>
      <c r="E17" t="inlineStr"/>
      <c r="F17" s="5" t="inlineStr"/>
      <c r="G17" s="5" t="inlineStr">
        <is>
          <t>x</t>
        </is>
      </c>
      <c r="H17" s="5" t="inlineStr"/>
      <c r="I17" s="5" t="inlineStr"/>
      <c r="J17" s="5" t="inlineStr"/>
      <c r="K17" s="5" t="inlineStr"/>
      <c r="L17" t="inlineStr"/>
      <c r="M17" s="6">
        <f>IF(L17&lt;&gt;"",L17,_xlfn.TEXTJOIN(" · ",TRUE,IF(F17&lt;&gt;"","Fundador",""),IF(G17&lt;&gt;"","Anjo",""),IF(H17&lt;&gt;"","VC",""),IF(I17&lt;&gt;"","Gestão",""),IF(J17&lt;&gt;"","Conselho",""),IF(K17&lt;&gt;"","Buscapé","")))</f>
        <v/>
      </c>
      <c r="N17" t="inlineStr"/>
      <c r="O17" s="5" t="inlineStr"/>
      <c r="P17" t="inlineStr"/>
      <c r="Q17" t="inlineStr">
        <is>
          <t>https://recargapay.com.br</t>
        </is>
      </c>
      <c r="R17" t="inlineStr">
        <is>
          <t>https://www.crunchbase.com/organization/recargapay</t>
        </is>
      </c>
      <c r="S17" t="inlineStr">
        <is>
          <t>recargapay.png</t>
        </is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5" t="inlineStr">
        <is>
          <t>170</t>
        </is>
      </c>
      <c r="B18" s="5" t="inlineStr">
        <is>
          <t>x</t>
        </is>
      </c>
      <c r="C18" s="5" t="inlineStr">
        <is>
          <t>17</t>
        </is>
      </c>
      <c r="D18" t="inlineStr">
        <is>
          <t>Naspers / Prosus</t>
        </is>
      </c>
      <c r="E18" t="inlineStr"/>
      <c r="F18" s="5" t="inlineStr"/>
      <c r="G18" s="5" t="inlineStr"/>
      <c r="H18" s="5" t="inlineStr"/>
      <c r="I18" s="5" t="inlineStr">
        <is>
          <t>x</t>
        </is>
      </c>
      <c r="J18" s="5" t="inlineStr"/>
      <c r="K18" s="5" t="inlineStr"/>
      <c r="L18" t="inlineStr"/>
      <c r="M18" s="6">
        <f>IF(L18&lt;&gt;"",L18,_xlfn.TEXTJOIN(" · ",TRUE,IF(F18&lt;&gt;"","Fundador",""),IF(G18&lt;&gt;"","Anjo",""),IF(H18&lt;&gt;"","VC",""),IF(I18&lt;&gt;"","Gestão",""),IF(J18&lt;&gt;"","Conselho",""),IF(K18&lt;&gt;"","Buscapé","")))</f>
        <v/>
      </c>
      <c r="N18" t="inlineStr"/>
      <c r="O18" s="5" t="inlineStr">
        <is>
          <t>2014</t>
        </is>
      </c>
      <c r="P18" t="inlineStr"/>
      <c r="Q18" t="inlineStr">
        <is>
          <t>https://www.prosus.com</t>
        </is>
      </c>
      <c r="R18" t="inlineStr">
        <is>
          <t>https://www.crunchbase.com/organization/naspers</t>
        </is>
      </c>
      <c r="S18" t="inlineStr">
        <is>
          <t>naspers-prosus.png</t>
        </is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5" t="inlineStr">
        <is>
          <t>180</t>
        </is>
      </c>
      <c r="B19" s="5" t="inlineStr">
        <is>
          <t>x</t>
        </is>
      </c>
      <c r="C19" s="5" t="inlineStr">
        <is>
          <t>18</t>
        </is>
      </c>
      <c r="D19" t="inlineStr">
        <is>
          <t>NeoGrid</t>
        </is>
      </c>
      <c r="E19" t="inlineStr"/>
      <c r="F19" s="5" t="inlineStr"/>
      <c r="G19" s="5" t="inlineStr"/>
      <c r="H19" s="5" t="inlineStr"/>
      <c r="I19" s="5" t="inlineStr"/>
      <c r="J19" s="5" t="inlineStr">
        <is>
          <t>x</t>
        </is>
      </c>
      <c r="K19" s="5" t="inlineStr"/>
      <c r="L19" t="inlineStr"/>
      <c r="M19" s="6">
        <f>IF(L19&lt;&gt;"",L19,_xlfn.TEXTJOIN(" · ",TRUE,IF(F19&lt;&gt;"","Fundador",""),IF(G19&lt;&gt;"","Anjo",""),IF(H19&lt;&gt;"","VC",""),IF(I19&lt;&gt;"","Gestão",""),IF(J19&lt;&gt;"","Conselho",""),IF(K19&lt;&gt;"","Buscapé","")))</f>
        <v/>
      </c>
      <c r="N19" t="inlineStr"/>
      <c r="O19" s="5" t="inlineStr">
        <is>
          <t>2013</t>
        </is>
      </c>
      <c r="P19" t="inlineStr">
        <is>
          <t>Listada na B3</t>
        </is>
      </c>
      <c r="Q19" t="inlineStr">
        <is>
          <t>https://neogrid.com</t>
        </is>
      </c>
      <c r="R19" t="inlineStr">
        <is>
          <t>https://www.crunchbase.com/organization/neogrid</t>
        </is>
      </c>
      <c r="S19" t="inlineStr">
        <is>
          <t>neogrid.png</t>
        </is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5" t="inlineStr">
        <is>
          <t>190</t>
        </is>
      </c>
      <c r="B20" s="5" t="inlineStr">
        <is>
          <t>x</t>
        </is>
      </c>
      <c r="C20" s="5" t="inlineStr">
        <is>
          <t>19</t>
        </is>
      </c>
      <c r="D20" t="inlineStr">
        <is>
          <t>Viagogo</t>
        </is>
      </c>
      <c r="E20" t="inlineStr"/>
      <c r="F20" s="5" t="inlineStr"/>
      <c r="G20" s="5" t="inlineStr">
        <is>
          <t>x</t>
        </is>
      </c>
      <c r="H20" s="5" t="inlineStr"/>
      <c r="I20" s="5" t="inlineStr"/>
      <c r="J20" s="5" t="inlineStr"/>
      <c r="K20" s="5" t="inlineStr"/>
      <c r="L20" t="inlineStr"/>
      <c r="M20" s="6">
        <f>IF(L20&lt;&gt;"",L20,_xlfn.TEXTJOIN(" · ",TRUE,IF(F20&lt;&gt;"","Fundador",""),IF(G20&lt;&gt;"","Anjo",""),IF(H20&lt;&gt;"","VC",""),IF(I20&lt;&gt;"","Gestão",""),IF(J20&lt;&gt;"","Conselho",""),IF(K20&lt;&gt;"","Buscapé","")))</f>
        <v/>
      </c>
      <c r="N20" t="inlineStr"/>
      <c r="O20" s="5" t="inlineStr"/>
      <c r="P20" t="inlineStr">
        <is>
          <t>Ativa</t>
        </is>
      </c>
      <c r="Q20" t="inlineStr">
        <is>
          <t>https://www.viagogo.com/</t>
        </is>
      </c>
      <c r="R20" t="inlineStr">
        <is>
          <t>https://www.crunchbase.com/organization/viagogo</t>
        </is>
      </c>
      <c r="S20" t="inlineStr">
        <is>
          <t>viagogo.png</t>
        </is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5" t="inlineStr">
        <is>
          <t>200</t>
        </is>
      </c>
      <c r="B21" s="5" t="inlineStr">
        <is>
          <t>x</t>
        </is>
      </c>
      <c r="C21" s="5" t="inlineStr"/>
      <c r="D21" t="inlineStr">
        <is>
          <t>ABC da Construção</t>
        </is>
      </c>
      <c r="E21" t="inlineStr"/>
      <c r="F21" s="5" t="inlineStr"/>
      <c r="G21" s="5" t="inlineStr"/>
      <c r="H21" s="5" t="inlineStr">
        <is>
          <t>x</t>
        </is>
      </c>
      <c r="I21" s="5" t="inlineStr"/>
      <c r="J21" s="5" t="inlineStr"/>
      <c r="K21" s="5" t="inlineStr"/>
      <c r="L21" t="inlineStr"/>
      <c r="M21" s="6">
        <f>IF(L21&lt;&gt;"",L21,_xlfn.TEXTJOIN(" · ",TRUE,IF(F21&lt;&gt;"","Fundador",""),IF(G21&lt;&gt;"","Anjo",""),IF(H21&lt;&gt;"","VC",""),IF(I21&lt;&gt;"","Gestão",""),IF(J21&lt;&gt;"","Conselho",""),IF(K21&lt;&gt;"","Buscapé","")))</f>
        <v/>
      </c>
      <c r="N21" t="inlineStr"/>
      <c r="O21" s="5" t="inlineStr">
        <is>
          <t>2019</t>
        </is>
      </c>
      <c r="P21" t="inlineStr">
        <is>
          <t>Ativa</t>
        </is>
      </c>
      <c r="Q21" t="inlineStr">
        <is>
          <t>https://www.abcdaconstrucao.com.br/</t>
        </is>
      </c>
      <c r="R21" t="inlineStr">
        <is>
          <t>https://www.crunchbase.com/organization/abc-da-constru%C3%A7%C3%A3o</t>
        </is>
      </c>
      <c r="S21" t="inlineStr">
        <is>
          <t>abc-da-construcao.png</t>
        </is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5" t="inlineStr">
        <is>
          <t>210</t>
        </is>
      </c>
      <c r="B22" s="5" t="inlineStr">
        <is>
          <t>x</t>
        </is>
      </c>
      <c r="C22" s="5" t="inlineStr"/>
      <c r="D22" t="inlineStr">
        <is>
          <t>Blips</t>
        </is>
      </c>
      <c r="E22" t="inlineStr"/>
      <c r="F22" s="5" t="inlineStr"/>
      <c r="G22" s="5" t="inlineStr"/>
      <c r="H22" s="5" t="inlineStr">
        <is>
          <t>x</t>
        </is>
      </c>
      <c r="I22" s="5" t="inlineStr"/>
      <c r="J22" s="5" t="inlineStr"/>
      <c r="K22" s="5" t="inlineStr"/>
      <c r="L22" t="inlineStr"/>
      <c r="M22" s="6">
        <f>IF(L22&lt;&gt;"",L22,_xlfn.TEXTJOIN(" · ",TRUE,IF(F22&lt;&gt;"","Fundador",""),IF(G22&lt;&gt;"","Anjo",""),IF(H22&lt;&gt;"","VC",""),IF(I22&lt;&gt;"","Gestão",""),IF(J22&lt;&gt;"","Conselho",""),IF(K22&lt;&gt;"","Buscapé","")))</f>
        <v/>
      </c>
      <c r="N22" t="inlineStr"/>
      <c r="O22" s="5" t="inlineStr">
        <is>
          <t>2024</t>
        </is>
      </c>
      <c r="P22" t="inlineStr">
        <is>
          <t>Ativa</t>
        </is>
      </c>
      <c r="Q22" t="inlineStr">
        <is>
          <t>https://www.blips.com.br</t>
        </is>
      </c>
      <c r="R22" t="inlineStr">
        <is>
          <t>https://www.crunchbase.com/organization/blips</t>
        </is>
      </c>
      <c r="S22" t="inlineStr">
        <is>
          <t>blips.png</t>
        </is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5" t="inlineStr">
        <is>
          <t>220</t>
        </is>
      </c>
      <c r="B23" s="5" t="inlineStr">
        <is>
          <t>x</t>
        </is>
      </c>
      <c r="C23" s="5" t="inlineStr"/>
      <c r="D23" t="inlineStr">
        <is>
          <t>Avenia</t>
        </is>
      </c>
      <c r="E23" t="inlineStr"/>
      <c r="F23" s="5" t="inlineStr"/>
      <c r="G23" s="5" t="inlineStr"/>
      <c r="H23" s="5" t="inlineStr">
        <is>
          <t>x</t>
        </is>
      </c>
      <c r="I23" s="5" t="inlineStr"/>
      <c r="J23" s="5" t="inlineStr"/>
      <c r="K23" s="5" t="inlineStr"/>
      <c r="L23" t="inlineStr"/>
      <c r="M23" s="6">
        <f>IF(L23&lt;&gt;"",L23,_xlfn.TEXTJOIN(" · ",TRUE,IF(F23&lt;&gt;"","Fundador",""),IF(G23&lt;&gt;"","Anjo",""),IF(H23&lt;&gt;"","VC",""),IF(I23&lt;&gt;"","Gestão",""),IF(J23&lt;&gt;"","Conselho",""),IF(K23&lt;&gt;"","Buscapé","")))</f>
        <v/>
      </c>
      <c r="N23" t="inlineStr"/>
      <c r="O23" s="5" t="inlineStr">
        <is>
          <t>2026</t>
        </is>
      </c>
      <c r="P23" t="inlineStr">
        <is>
          <t>Ativa</t>
        </is>
      </c>
      <c r="Q23" t="inlineStr">
        <is>
          <t>https://avenia.io</t>
        </is>
      </c>
      <c r="R23" t="inlineStr">
        <is>
          <t>https://www.crunchbase.com/organization/brla-digital</t>
        </is>
      </c>
      <c r="S23" t="inlineStr">
        <is>
          <t>avenia.png</t>
        </is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5" t="inlineStr">
        <is>
          <t>230</t>
        </is>
      </c>
      <c r="B24" s="5" t="inlineStr">
        <is>
          <t>x</t>
        </is>
      </c>
      <c r="C24" s="5" t="inlineStr"/>
      <c r="D24" t="inlineStr">
        <is>
          <t>CondoConta</t>
        </is>
      </c>
      <c r="E24" t="inlineStr"/>
      <c r="F24" s="5" t="inlineStr"/>
      <c r="G24" s="5" t="inlineStr"/>
      <c r="H24" s="5" t="inlineStr">
        <is>
          <t>x</t>
        </is>
      </c>
      <c r="I24" s="5" t="inlineStr"/>
      <c r="J24" s="5" t="inlineStr"/>
      <c r="K24" s="5" t="inlineStr"/>
      <c r="L24" t="inlineStr"/>
      <c r="M24" s="6">
        <f>IF(L24&lt;&gt;"",L24,_xlfn.TEXTJOIN(" · ",TRUE,IF(F24&lt;&gt;"","Fundador",""),IF(G24&lt;&gt;"","Anjo",""),IF(H24&lt;&gt;"","VC",""),IF(I24&lt;&gt;"","Gestão",""),IF(J24&lt;&gt;"","Conselho",""),IF(K24&lt;&gt;"","Buscapé","")))</f>
        <v/>
      </c>
      <c r="N24" t="inlineStr"/>
      <c r="O24" s="5" t="inlineStr">
        <is>
          <t>2021</t>
        </is>
      </c>
      <c r="P24" t="inlineStr">
        <is>
          <t>Ativa</t>
        </is>
      </c>
      <c r="Q24" t="inlineStr">
        <is>
          <t>https://condoconta.com.br</t>
        </is>
      </c>
      <c r="R24" t="inlineStr">
        <is>
          <t>https://www.crunchbase.com/organization/condoconta</t>
        </is>
      </c>
      <c r="S24" t="inlineStr">
        <is>
          <t>condoconta.png</t>
        </is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5" t="inlineStr">
        <is>
          <t>240</t>
        </is>
      </c>
      <c r="B25" s="5" t="inlineStr">
        <is>
          <t>x</t>
        </is>
      </c>
      <c r="C25" s="5" t="inlineStr"/>
      <c r="D25" t="inlineStr">
        <is>
          <t>Hero Seguros</t>
        </is>
      </c>
      <c r="E25" t="inlineStr"/>
      <c r="F25" s="5" t="inlineStr"/>
      <c r="G25" s="5" t="inlineStr"/>
      <c r="H25" s="5" t="inlineStr">
        <is>
          <t>x</t>
        </is>
      </c>
      <c r="I25" s="5" t="inlineStr"/>
      <c r="J25" s="5" t="inlineStr"/>
      <c r="K25" s="5" t="inlineStr"/>
      <c r="L25" t="inlineStr"/>
      <c r="M25" s="6">
        <f>IF(L25&lt;&gt;"",L25,_xlfn.TEXTJOIN(" · ",TRUE,IF(F25&lt;&gt;"","Fundador",""),IF(G25&lt;&gt;"","Anjo",""),IF(H25&lt;&gt;"","VC",""),IF(I25&lt;&gt;"","Gestão",""),IF(J25&lt;&gt;"","Conselho",""),IF(K25&lt;&gt;"","Buscapé","")))</f>
        <v/>
      </c>
      <c r="N25" t="inlineStr"/>
      <c r="O25" s="5" t="inlineStr">
        <is>
          <t>2026</t>
        </is>
      </c>
      <c r="P25" t="inlineStr"/>
      <c r="Q25" t="inlineStr">
        <is>
          <t>https://heroseguros.com.br/</t>
        </is>
      </c>
      <c r="R25" t="inlineStr">
        <is>
          <t>https://www.crunchbase.com/organization/hero-seguros</t>
        </is>
      </c>
      <c r="S25" t="inlineStr">
        <is>
          <t>hero-seguros.png</t>
        </is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5" t="inlineStr">
        <is>
          <t>250</t>
        </is>
      </c>
      <c r="B26" s="5" t="inlineStr">
        <is>
          <t>x</t>
        </is>
      </c>
      <c r="C26" s="5" t="inlineStr"/>
      <c r="D26" t="inlineStr">
        <is>
          <t>Mercado de Recebíveis</t>
        </is>
      </c>
      <c r="E26" t="inlineStr"/>
      <c r="F26" s="5" t="inlineStr"/>
      <c r="G26" s="5" t="inlineStr"/>
      <c r="H26" s="5" t="inlineStr">
        <is>
          <t>x</t>
        </is>
      </c>
      <c r="I26" s="5" t="inlineStr"/>
      <c r="J26" s="5" t="inlineStr"/>
      <c r="K26" s="5" t="inlineStr"/>
      <c r="L26" t="inlineStr"/>
      <c r="M26" s="6">
        <f>IF(L26&lt;&gt;"",L26,_xlfn.TEXTJOIN(" · ",TRUE,IF(F26&lt;&gt;"","Fundador",""),IF(G26&lt;&gt;"","Anjo",""),IF(H26&lt;&gt;"","VC",""),IF(I26&lt;&gt;"","Gestão",""),IF(J26&lt;&gt;"","Conselho",""),IF(K26&lt;&gt;"","Buscapé","")))</f>
        <v/>
      </c>
      <c r="N26" t="inlineStr"/>
      <c r="O26" s="5" t="inlineStr">
        <is>
          <t>2025</t>
        </is>
      </c>
      <c r="P26" t="inlineStr">
        <is>
          <t>Ativa</t>
        </is>
      </c>
      <c r="Q26" t="inlineStr">
        <is>
          <t>https://mercadoderecebiveis.com.br/</t>
        </is>
      </c>
      <c r="R26" t="inlineStr">
        <is>
          <t>https://www.crunchbase.com/organization/mercado-de-receb%C3%ADveis</t>
        </is>
      </c>
      <c r="S26" t="inlineStr">
        <is>
          <t>mercado-de-recebiveis.png</t>
        </is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5" t="inlineStr">
        <is>
          <t>260</t>
        </is>
      </c>
      <c r="B27" s="5" t="inlineStr">
        <is>
          <t>x</t>
        </is>
      </c>
      <c r="C27" s="5" t="inlineStr"/>
      <c r="D27" t="inlineStr">
        <is>
          <t>Neurogram</t>
        </is>
      </c>
      <c r="E27" t="inlineStr"/>
      <c r="F27" s="5" t="inlineStr"/>
      <c r="G27" s="5" t="inlineStr"/>
      <c r="H27" s="5" t="inlineStr">
        <is>
          <t>x</t>
        </is>
      </c>
      <c r="I27" s="5" t="inlineStr"/>
      <c r="J27" s="5" t="inlineStr"/>
      <c r="K27" s="5" t="inlineStr"/>
      <c r="L27" t="inlineStr"/>
      <c r="M27" s="6">
        <f>IF(L27&lt;&gt;"",L27,_xlfn.TEXTJOIN(" · ",TRUE,IF(F27&lt;&gt;"","Fundador",""),IF(G27&lt;&gt;"","Anjo",""),IF(H27&lt;&gt;"","VC",""),IF(I27&lt;&gt;"","Gestão",""),IF(J27&lt;&gt;"","Conselho",""),IF(K27&lt;&gt;"","Buscapé","")))</f>
        <v/>
      </c>
      <c r="N27" t="inlineStr"/>
      <c r="O27" s="5" t="inlineStr">
        <is>
          <t>2025</t>
        </is>
      </c>
      <c r="P27" t="inlineStr">
        <is>
          <t>Ativa</t>
        </is>
      </c>
      <c r="Q27" t="inlineStr">
        <is>
          <t>https://neurogram.com/</t>
        </is>
      </c>
      <c r="R27" t="inlineStr">
        <is>
          <t>https://www.crunchbase.com/organization/neurogram</t>
        </is>
      </c>
      <c r="S27" t="inlineStr">
        <is>
          <t>neurogram.png</t>
        </is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5" t="inlineStr">
        <is>
          <t>270</t>
        </is>
      </c>
      <c r="B28" s="5" t="inlineStr">
        <is>
          <t>x</t>
        </is>
      </c>
      <c r="C28" s="5" t="inlineStr"/>
      <c r="D28" t="inlineStr">
        <is>
          <t>Housi</t>
        </is>
      </c>
      <c r="E28" t="inlineStr"/>
      <c r="F28" s="5" t="inlineStr"/>
      <c r="G28" s="5" t="inlineStr"/>
      <c r="H28" s="5" t="inlineStr">
        <is>
          <t>x</t>
        </is>
      </c>
      <c r="I28" s="5" t="inlineStr"/>
      <c r="J28" s="5" t="inlineStr"/>
      <c r="K28" s="5" t="inlineStr"/>
      <c r="L28" t="inlineStr"/>
      <c r="M28" s="6">
        <f>IF(L28&lt;&gt;"",L28,_xlfn.TEXTJOIN(" · ",TRUE,IF(F28&lt;&gt;"","Fundador",""),IF(G28&lt;&gt;"","Anjo",""),IF(H28&lt;&gt;"","VC",""),IF(I28&lt;&gt;"","Gestão",""),IF(J28&lt;&gt;"","Conselho",""),IF(K28&lt;&gt;"","Buscapé","")))</f>
        <v/>
      </c>
      <c r="N28" t="inlineStr"/>
      <c r="O28" s="5" t="inlineStr">
        <is>
          <t>2019</t>
        </is>
      </c>
      <c r="P28" t="inlineStr">
        <is>
          <t>Ativa</t>
        </is>
      </c>
      <c r="Q28" t="inlineStr">
        <is>
          <t>https://housi.com</t>
        </is>
      </c>
      <c r="R28" t="inlineStr">
        <is>
          <t>https://www.crunchbase.com/organization/housi</t>
        </is>
      </c>
      <c r="S28" t="inlineStr">
        <is>
          <t>housi.png</t>
        </is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5" t="inlineStr">
        <is>
          <t>280</t>
        </is>
      </c>
      <c r="B29" s="5" t="inlineStr">
        <is>
          <t>x</t>
        </is>
      </c>
      <c r="C29" s="5" t="inlineStr"/>
      <c r="D29" t="inlineStr">
        <is>
          <t>Vaas</t>
        </is>
      </c>
      <c r="E29" t="inlineStr"/>
      <c r="F29" s="5" t="inlineStr"/>
      <c r="G29" s="5" t="inlineStr"/>
      <c r="H29" s="5" t="inlineStr">
        <is>
          <t>x</t>
        </is>
      </c>
      <c r="I29" s="5" t="inlineStr"/>
      <c r="J29" s="5" t="inlineStr"/>
      <c r="K29" s="5" t="inlineStr"/>
      <c r="L29" t="inlineStr"/>
      <c r="M29" s="6">
        <f>IF(L29&lt;&gt;"",L29,_xlfn.TEXTJOIN(" · ",TRUE,IF(F29&lt;&gt;"","Fundador",""),IF(G29&lt;&gt;"","Anjo",""),IF(H29&lt;&gt;"","VC",""),IF(I29&lt;&gt;"","Gestão",""),IF(J29&lt;&gt;"","Conselho",""),IF(K29&lt;&gt;"","Buscapé","")))</f>
        <v/>
      </c>
      <c r="N29" t="inlineStr"/>
      <c r="O29" s="5" t="inlineStr">
        <is>
          <t>2025</t>
        </is>
      </c>
      <c r="P29" t="inlineStr">
        <is>
          <t>Ativa</t>
        </is>
      </c>
      <c r="Q29" t="inlineStr">
        <is>
          <t>https://vaas.com.br/</t>
        </is>
      </c>
      <c r="R29" t="inlineStr">
        <is>
          <t>https://www.crunchbase.com/organization/vaas-1dc0</t>
        </is>
      </c>
      <c r="S29" t="inlineStr">
        <is>
          <t>vaas.png</t>
        </is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5" t="inlineStr">
        <is>
          <t>290</t>
        </is>
      </c>
      <c r="B30" s="5" t="inlineStr">
        <is>
          <t>x</t>
        </is>
      </c>
      <c r="C30" s="5" t="inlineStr"/>
      <c r="D30" t="inlineStr">
        <is>
          <t>Tembici</t>
        </is>
      </c>
      <c r="E30" t="inlineStr"/>
      <c r="F30" s="5" t="inlineStr"/>
      <c r="G30" s="5" t="inlineStr"/>
      <c r="H30" s="5" t="inlineStr">
        <is>
          <t>x</t>
        </is>
      </c>
      <c r="I30" s="5" t="inlineStr"/>
      <c r="J30" s="5" t="inlineStr"/>
      <c r="K30" s="5" t="inlineStr"/>
      <c r="L30" t="inlineStr"/>
      <c r="M30" s="6">
        <f>IF(L30&lt;&gt;"",L30,_xlfn.TEXTJOIN(" · ",TRUE,IF(F30&lt;&gt;"","Fundador",""),IF(G30&lt;&gt;"","Anjo",""),IF(H30&lt;&gt;"","VC",""),IF(I30&lt;&gt;"","Gestão",""),IF(J30&lt;&gt;"","Conselho",""),IF(K30&lt;&gt;"","Buscapé","")))</f>
        <v/>
      </c>
      <c r="N30" t="inlineStr"/>
      <c r="O30" s="5" t="inlineStr">
        <is>
          <t>2020</t>
        </is>
      </c>
      <c r="P30" t="inlineStr">
        <is>
          <t>Ativa</t>
        </is>
      </c>
      <c r="Q30" t="inlineStr">
        <is>
          <t>https://www.tembici.com.br/pt/</t>
        </is>
      </c>
      <c r="R30" t="inlineStr">
        <is>
          <t>https://www.crunchbase.com/organization/tem-bici</t>
        </is>
      </c>
      <c r="S30" t="inlineStr">
        <is>
          <t>tembici.png</t>
        </is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5" t="inlineStr">
        <is>
          <t>300</t>
        </is>
      </c>
      <c r="B31" s="5" t="inlineStr">
        <is>
          <t>x</t>
        </is>
      </c>
      <c r="C31" s="5" t="inlineStr"/>
      <c r="D31" t="inlineStr">
        <is>
          <t>eureciclo</t>
        </is>
      </c>
      <c r="E31" t="inlineStr"/>
      <c r="F31" s="5" t="inlineStr"/>
      <c r="G31" s="5" t="inlineStr"/>
      <c r="H31" s="5" t="inlineStr">
        <is>
          <t>x</t>
        </is>
      </c>
      <c r="I31" s="5" t="inlineStr"/>
      <c r="J31" s="5" t="inlineStr"/>
      <c r="K31" s="5" t="inlineStr"/>
      <c r="L31" t="inlineStr"/>
      <c r="M31" s="6">
        <f>IF(L31&lt;&gt;"",L31,_xlfn.TEXTJOIN(" · ",TRUE,IF(F31&lt;&gt;"","Fundador",""),IF(G31&lt;&gt;"","Anjo",""),IF(H31&lt;&gt;"","VC",""),IF(I31&lt;&gt;"","Gestão",""),IF(J31&lt;&gt;"","Conselho",""),IF(K31&lt;&gt;"","Buscapé","")))</f>
        <v/>
      </c>
      <c r="N31" t="inlineStr"/>
      <c r="O31" s="5" t="inlineStr">
        <is>
          <t>2020</t>
        </is>
      </c>
      <c r="P31" t="inlineStr">
        <is>
          <t>Ativa</t>
        </is>
      </c>
      <c r="Q31" t="inlineStr">
        <is>
          <t>https://eureciclo.com.br/</t>
        </is>
      </c>
      <c r="R31" t="inlineStr">
        <is>
          <t>https://www.crunchbase.com/organization/eureciclo</t>
        </is>
      </c>
      <c r="S31" t="inlineStr">
        <is>
          <t>eureciclo.png</t>
        </is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5" t="inlineStr">
        <is>
          <t>310</t>
        </is>
      </c>
      <c r="B32" s="5" t="inlineStr">
        <is>
          <t>x</t>
        </is>
      </c>
      <c r="C32" s="5" t="inlineStr"/>
      <c r="D32" t="inlineStr">
        <is>
          <t>MarketUP</t>
        </is>
      </c>
      <c r="E32" t="inlineStr"/>
      <c r="F32" s="5" t="inlineStr"/>
      <c r="G32" s="5" t="inlineStr">
        <is>
          <t>x</t>
        </is>
      </c>
      <c r="H32" s="5" t="inlineStr"/>
      <c r="I32" s="5" t="inlineStr"/>
      <c r="J32" s="5" t="inlineStr">
        <is>
          <t>x</t>
        </is>
      </c>
      <c r="K32" s="5" t="inlineStr"/>
      <c r="L32" t="inlineStr"/>
      <c r="M32" s="6">
        <f>IF(L32&lt;&gt;"",L32,_xlfn.TEXTJOIN(" · ",TRUE,IF(F32&lt;&gt;"","Fundador",""),IF(G32&lt;&gt;"","Anjo",""),IF(H32&lt;&gt;"","VC",""),IF(I32&lt;&gt;"","Gestão",""),IF(J32&lt;&gt;"","Conselho",""),IF(K32&lt;&gt;"","Buscapé","")))</f>
        <v/>
      </c>
      <c r="N32" t="inlineStr"/>
      <c r="O32" s="5" t="inlineStr"/>
      <c r="P32" t="inlineStr">
        <is>
          <t>Ativa</t>
        </is>
      </c>
      <c r="Q32" t="inlineStr">
        <is>
          <t>https://marketup.com</t>
        </is>
      </c>
      <c r="R32" t="inlineStr">
        <is>
          <t>https://www.crunchbase.com/organization/marketup</t>
        </is>
      </c>
      <c r="S32" t="inlineStr">
        <is>
          <t>marketup.png</t>
        </is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5" t="inlineStr">
        <is>
          <t>320</t>
        </is>
      </c>
      <c r="B33" s="5" t="inlineStr">
        <is>
          <t>x</t>
        </is>
      </c>
      <c r="C33" s="5" t="inlineStr"/>
      <c r="D33" t="inlineStr">
        <is>
          <t>Delfos</t>
        </is>
      </c>
      <c r="E33" t="inlineStr"/>
      <c r="F33" s="5" t="inlineStr"/>
      <c r="G33" s="5" t="inlineStr"/>
      <c r="H33" s="5" t="inlineStr">
        <is>
          <t>x</t>
        </is>
      </c>
      <c r="I33" s="5" t="inlineStr"/>
      <c r="J33" s="5" t="inlineStr"/>
      <c r="K33" s="5" t="inlineStr"/>
      <c r="L33" t="inlineStr"/>
      <c r="M33" s="6">
        <f>IF(L33&lt;&gt;"",L33,_xlfn.TEXTJOIN(" · ",TRUE,IF(F33&lt;&gt;"","Fundador",""),IF(G33&lt;&gt;"","Anjo",""),IF(H33&lt;&gt;"","VC",""),IF(I33&lt;&gt;"","Gestão",""),IF(J33&lt;&gt;"","Conselho",""),IF(K33&lt;&gt;"","Buscapé","")))</f>
        <v/>
      </c>
      <c r="N33" t="inlineStr"/>
      <c r="O33" s="5" t="inlineStr">
        <is>
          <t>2023</t>
        </is>
      </c>
      <c r="P33" t="inlineStr">
        <is>
          <t>Ativa</t>
        </is>
      </c>
      <c r="Q33" t="inlineStr">
        <is>
          <t>https://www.delfos.energy/</t>
        </is>
      </c>
      <c r="R33" t="inlineStr">
        <is>
          <t>https://www.crunchbase.com/organization/delfos-intelligent-maintenance</t>
        </is>
      </c>
      <c r="S33" t="inlineStr">
        <is>
          <t>delfos.png</t>
        </is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5" t="inlineStr">
        <is>
          <t>330</t>
        </is>
      </c>
      <c r="B34" s="5" t="inlineStr">
        <is>
          <t>x</t>
        </is>
      </c>
      <c r="C34" s="5" t="inlineStr"/>
      <c r="D34" t="inlineStr">
        <is>
          <t>Revert</t>
        </is>
      </c>
      <c r="E34" t="inlineStr"/>
      <c r="F34" s="5" t="inlineStr"/>
      <c r="G34" s="5" t="inlineStr"/>
      <c r="H34" s="5" t="inlineStr">
        <is>
          <t>x</t>
        </is>
      </c>
      <c r="I34" s="5" t="inlineStr"/>
      <c r="J34" s="5" t="inlineStr"/>
      <c r="K34" s="5" t="inlineStr"/>
      <c r="L34" t="inlineStr"/>
      <c r="M34" s="6">
        <f>IF(L34&lt;&gt;"",L34,_xlfn.TEXTJOIN(" · ",TRUE,IF(F34&lt;&gt;"","Fundador",""),IF(G34&lt;&gt;"","Anjo",""),IF(H34&lt;&gt;"","VC",""),IF(I34&lt;&gt;"","Gestão",""),IF(J34&lt;&gt;"","Conselho",""),IF(K34&lt;&gt;"","Buscapé","")))</f>
        <v/>
      </c>
      <c r="N34" t="inlineStr"/>
      <c r="O34" s="5" t="inlineStr">
        <is>
          <t>2026</t>
        </is>
      </c>
      <c r="P34" t="inlineStr"/>
      <c r="Q34" t="inlineStr">
        <is>
          <t>https://revertai.com.br/</t>
        </is>
      </c>
      <c r="R34" t="inlineStr"/>
      <c r="S34" t="inlineStr">
        <is>
          <t>revert.png</t>
        </is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5" t="inlineStr">
        <is>
          <t>340</t>
        </is>
      </c>
      <c r="B35" s="5" t="inlineStr">
        <is>
          <t>x</t>
        </is>
      </c>
      <c r="C35" s="5" t="inlineStr"/>
      <c r="D35" t="inlineStr">
        <is>
          <t>Alia.do</t>
        </is>
      </c>
      <c r="E35" t="inlineStr"/>
      <c r="F35" s="5" t="inlineStr"/>
      <c r="G35" s="5" t="inlineStr"/>
      <c r="H35" s="5" t="inlineStr">
        <is>
          <t>x</t>
        </is>
      </c>
      <c r="I35" s="5" t="inlineStr"/>
      <c r="J35" s="5" t="inlineStr"/>
      <c r="K35" s="5" t="inlineStr"/>
      <c r="L35" t="inlineStr"/>
      <c r="M35" s="6">
        <f>IF(L35&lt;&gt;"",L35,_xlfn.TEXTJOIN(" · ",TRUE,IF(F35&lt;&gt;"","Fundador",""),IF(G35&lt;&gt;"","Anjo",""),IF(H35&lt;&gt;"","VC",""),IF(I35&lt;&gt;"","Gestão",""),IF(J35&lt;&gt;"","Conselho",""),IF(K35&lt;&gt;"","Buscapé","")))</f>
        <v/>
      </c>
      <c r="N35" t="inlineStr"/>
      <c r="O35" s="5" t="inlineStr">
        <is>
          <t>2025</t>
        </is>
      </c>
      <c r="P35" t="inlineStr">
        <is>
          <t>Ativa</t>
        </is>
      </c>
      <c r="Q35" t="inlineStr">
        <is>
          <t>https://alia.do</t>
        </is>
      </c>
      <c r="R35" t="inlineStr">
        <is>
          <t>https://www.crunchbase.com/organization/aliado-1328</t>
        </is>
      </c>
      <c r="S35" t="inlineStr">
        <is>
          <t>alia-do.png</t>
        </is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5" t="inlineStr">
        <is>
          <t>350</t>
        </is>
      </c>
      <c r="B36" s="5" t="inlineStr">
        <is>
          <t>x</t>
        </is>
      </c>
      <c r="C36" s="5" t="inlineStr"/>
      <c r="D36" t="inlineStr">
        <is>
          <t>Celero</t>
        </is>
      </c>
      <c r="E36" t="inlineStr"/>
      <c r="F36" s="5" t="inlineStr"/>
      <c r="G36" s="5" t="inlineStr"/>
      <c r="H36" s="5" t="inlineStr">
        <is>
          <t>x</t>
        </is>
      </c>
      <c r="I36" s="5" t="inlineStr"/>
      <c r="J36" s="5" t="inlineStr"/>
      <c r="K36" s="5" t="inlineStr"/>
      <c r="L36" t="inlineStr"/>
      <c r="M36" s="6">
        <f>IF(L36&lt;&gt;"",L36,_xlfn.TEXTJOIN(" · ",TRUE,IF(F36&lt;&gt;"","Fundador",""),IF(G36&lt;&gt;"","Anjo",""),IF(H36&lt;&gt;"","VC",""),IF(I36&lt;&gt;"","Gestão",""),IF(J36&lt;&gt;"","Conselho",""),IF(K36&lt;&gt;"","Buscapé","")))</f>
        <v/>
      </c>
      <c r="N36" t="inlineStr"/>
      <c r="O36" s="5" t="inlineStr">
        <is>
          <t>2025</t>
        </is>
      </c>
      <c r="P36" t="inlineStr">
        <is>
          <t>Ativa</t>
        </is>
      </c>
      <c r="Q36" t="inlineStr">
        <is>
          <t>https://celero.com.br</t>
        </is>
      </c>
      <c r="R36" t="inlineStr">
        <is>
          <t>https://www.crunchbase.com/organization/celero-534d</t>
        </is>
      </c>
      <c r="S36" t="inlineStr">
        <is>
          <t>celero.png</t>
        </is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5" t="inlineStr">
        <is>
          <t>360</t>
        </is>
      </c>
      <c r="B37" s="5" t="inlineStr">
        <is>
          <t>x</t>
        </is>
      </c>
      <c r="C37" s="5" t="inlineStr"/>
      <c r="D37" t="inlineStr">
        <is>
          <t>Doc9</t>
        </is>
      </c>
      <c r="E37" t="inlineStr"/>
      <c r="F37" s="5" t="inlineStr"/>
      <c r="G37" s="5" t="inlineStr"/>
      <c r="H37" s="5" t="inlineStr">
        <is>
          <t>x</t>
        </is>
      </c>
      <c r="I37" s="5" t="inlineStr"/>
      <c r="J37" s="5" t="inlineStr"/>
      <c r="K37" s="5" t="inlineStr"/>
      <c r="L37" t="inlineStr"/>
      <c r="M37" s="6">
        <f>IF(L37&lt;&gt;"",L37,_xlfn.TEXTJOIN(" · ",TRUE,IF(F37&lt;&gt;"","Fundador",""),IF(G37&lt;&gt;"","Anjo",""),IF(H37&lt;&gt;"","VC",""),IF(I37&lt;&gt;"","Gestão",""),IF(J37&lt;&gt;"","Conselho",""),IF(K37&lt;&gt;"","Buscapé","")))</f>
        <v/>
      </c>
      <c r="N37" t="inlineStr"/>
      <c r="O37" s="5" t="inlineStr">
        <is>
          <t>2025</t>
        </is>
      </c>
      <c r="P37" t="inlineStr">
        <is>
          <t>Ativa</t>
        </is>
      </c>
      <c r="Q37" t="inlineStr">
        <is>
          <t>https://doc9.com.br/</t>
        </is>
      </c>
      <c r="R37" t="inlineStr">
        <is>
          <t>https://www.crunchbase.com/organization/doc9</t>
        </is>
      </c>
      <c r="S37" t="inlineStr">
        <is>
          <t>doc9.png</t>
        </is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5" t="inlineStr">
        <is>
          <t>370</t>
        </is>
      </c>
      <c r="B38" s="5" t="inlineStr">
        <is>
          <t>x</t>
        </is>
      </c>
      <c r="C38" s="5" t="inlineStr"/>
      <c r="D38" t="inlineStr">
        <is>
          <t>Jumpad</t>
        </is>
      </c>
      <c r="E38" t="inlineStr"/>
      <c r="F38" s="5" t="inlineStr"/>
      <c r="G38" s="5" t="inlineStr"/>
      <c r="H38" s="5" t="inlineStr">
        <is>
          <t>x</t>
        </is>
      </c>
      <c r="I38" s="5" t="inlineStr"/>
      <c r="J38" s="5" t="inlineStr"/>
      <c r="K38" s="5" t="inlineStr"/>
      <c r="L38" t="inlineStr"/>
      <c r="M38" s="6">
        <f>IF(L38&lt;&gt;"",L38,_xlfn.TEXTJOIN(" · ",TRUE,IF(F38&lt;&gt;"","Fundador",""),IF(G38&lt;&gt;"","Anjo",""),IF(H38&lt;&gt;"","VC",""),IF(I38&lt;&gt;"","Gestão",""),IF(J38&lt;&gt;"","Conselho",""),IF(K38&lt;&gt;"","Buscapé","")))</f>
        <v/>
      </c>
      <c r="N38" t="inlineStr"/>
      <c r="O38" s="5" t="inlineStr">
        <is>
          <t>2025</t>
        </is>
      </c>
      <c r="P38" t="inlineStr">
        <is>
          <t>Ativa</t>
        </is>
      </c>
      <c r="Q38" t="inlineStr">
        <is>
          <t>https://jumpad.ai/</t>
        </is>
      </c>
      <c r="R38" t="inlineStr"/>
      <c r="S38" t="inlineStr">
        <is>
          <t>jumpad.png</t>
        </is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5" t="inlineStr">
        <is>
          <t>380</t>
        </is>
      </c>
      <c r="B39" s="5" t="inlineStr">
        <is>
          <t>x</t>
        </is>
      </c>
      <c r="C39" s="5" t="inlineStr"/>
      <c r="D39" t="inlineStr">
        <is>
          <t>PipeImob</t>
        </is>
      </c>
      <c r="E39" t="inlineStr"/>
      <c r="F39" s="5" t="inlineStr"/>
      <c r="G39" s="5" t="inlineStr"/>
      <c r="H39" s="5" t="inlineStr">
        <is>
          <t>x</t>
        </is>
      </c>
      <c r="I39" s="5" t="inlineStr"/>
      <c r="J39" s="5" t="inlineStr"/>
      <c r="K39" s="5" t="inlineStr"/>
      <c r="L39" t="inlineStr"/>
      <c r="M39" s="6">
        <f>IF(L39&lt;&gt;"",L39,_xlfn.TEXTJOIN(" · ",TRUE,IF(F39&lt;&gt;"","Fundador",""),IF(G39&lt;&gt;"","Anjo",""),IF(H39&lt;&gt;"","VC",""),IF(I39&lt;&gt;"","Gestão",""),IF(J39&lt;&gt;"","Conselho",""),IF(K39&lt;&gt;"","Buscapé","")))</f>
        <v/>
      </c>
      <c r="N39" t="inlineStr"/>
      <c r="O39" s="5" t="inlineStr">
        <is>
          <t>2025</t>
        </is>
      </c>
      <c r="P39" t="inlineStr">
        <is>
          <t>Ativa</t>
        </is>
      </c>
      <c r="Q39" t="inlineStr">
        <is>
          <t>https://pipeimob.com.br/</t>
        </is>
      </c>
      <c r="R39" t="inlineStr">
        <is>
          <t>https://www.crunchbase.com/organization/pipeimob</t>
        </is>
      </c>
      <c r="S39" t="inlineStr">
        <is>
          <t>pipeimob.png</t>
        </is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5" t="inlineStr">
        <is>
          <t>390</t>
        </is>
      </c>
      <c r="B40" s="5" t="inlineStr">
        <is>
          <t>x</t>
        </is>
      </c>
      <c r="C40" s="5" t="inlineStr"/>
      <c r="D40" t="inlineStr">
        <is>
          <t>Horuss</t>
        </is>
      </c>
      <c r="E40" t="inlineStr"/>
      <c r="F40" s="5" t="inlineStr"/>
      <c r="G40" s="5" t="inlineStr"/>
      <c r="H40" s="5" t="inlineStr">
        <is>
          <t>x</t>
        </is>
      </c>
      <c r="I40" s="5" t="inlineStr"/>
      <c r="J40" s="5" t="inlineStr"/>
      <c r="K40" s="5" t="inlineStr"/>
      <c r="L40" t="inlineStr"/>
      <c r="M40" s="6">
        <f>IF(L40&lt;&gt;"",L40,_xlfn.TEXTJOIN(" · ",TRUE,IF(F40&lt;&gt;"","Fundador",""),IF(G40&lt;&gt;"","Anjo",""),IF(H40&lt;&gt;"","VC",""),IF(I40&lt;&gt;"","Gestão",""),IF(J40&lt;&gt;"","Conselho",""),IF(K40&lt;&gt;"","Buscapé","")))</f>
        <v/>
      </c>
      <c r="N40" t="inlineStr"/>
      <c r="O40" s="5" t="inlineStr">
        <is>
          <t>2024</t>
        </is>
      </c>
      <c r="P40" t="inlineStr">
        <is>
          <t>Ativa</t>
        </is>
      </c>
      <c r="Q40" t="inlineStr">
        <is>
          <t>https://www.horuss.ai/</t>
        </is>
      </c>
      <c r="R40" t="inlineStr">
        <is>
          <t>https://www.crunchbase.com/organization/horuss-ai</t>
        </is>
      </c>
      <c r="S40" t="inlineStr">
        <is>
          <t>horuss.png</t>
        </is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5" t="inlineStr">
        <is>
          <t>400</t>
        </is>
      </c>
      <c r="B41" s="5" t="inlineStr">
        <is>
          <t>x</t>
        </is>
      </c>
      <c r="C41" s="5" t="inlineStr"/>
      <c r="D41" t="inlineStr">
        <is>
          <t>Turn2C</t>
        </is>
      </c>
      <c r="E41" t="inlineStr"/>
      <c r="F41" s="5" t="inlineStr"/>
      <c r="G41" s="5" t="inlineStr"/>
      <c r="H41" s="5" t="inlineStr">
        <is>
          <t>x</t>
        </is>
      </c>
      <c r="I41" s="5" t="inlineStr"/>
      <c r="J41" s="5" t="inlineStr"/>
      <c r="K41" s="5" t="inlineStr"/>
      <c r="L41" t="inlineStr"/>
      <c r="M41" s="6">
        <f>IF(L41&lt;&gt;"",L41,_xlfn.TEXTJOIN(" · ",TRUE,IF(F41&lt;&gt;"","Fundador",""),IF(G41&lt;&gt;"","Anjo",""),IF(H41&lt;&gt;"","VC",""),IF(I41&lt;&gt;"","Gestão",""),IF(J41&lt;&gt;"","Conselho",""),IF(K41&lt;&gt;"","Buscapé","")))</f>
        <v/>
      </c>
      <c r="N41" t="inlineStr"/>
      <c r="O41" s="5" t="inlineStr">
        <is>
          <t>2024</t>
        </is>
      </c>
      <c r="P41" t="inlineStr">
        <is>
          <t>Ativa</t>
        </is>
      </c>
      <c r="Q41" t="inlineStr">
        <is>
          <t>https://turn2c.com</t>
        </is>
      </c>
      <c r="R41" t="inlineStr">
        <is>
          <t>https://www.crunchbase.com/organization/turn2c</t>
        </is>
      </c>
      <c r="S41" t="inlineStr">
        <is>
          <t>turn2c.png</t>
        </is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5" t="inlineStr">
        <is>
          <t>410</t>
        </is>
      </c>
      <c r="B42" s="5" t="inlineStr">
        <is>
          <t>x</t>
        </is>
      </c>
      <c r="C42" s="5" t="inlineStr"/>
      <c r="D42" t="inlineStr">
        <is>
          <t>Cycles</t>
        </is>
      </c>
      <c r="E42" t="inlineStr"/>
      <c r="F42" s="5" t="inlineStr"/>
      <c r="G42" s="5" t="inlineStr"/>
      <c r="H42" s="5" t="inlineStr">
        <is>
          <t>x</t>
        </is>
      </c>
      <c r="I42" s="5" t="inlineStr"/>
      <c r="J42" s="5" t="inlineStr"/>
      <c r="K42" s="5" t="inlineStr"/>
      <c r="L42" t="inlineStr"/>
      <c r="M42" s="6">
        <f>IF(L42&lt;&gt;"",L42,_xlfn.TEXTJOIN(" · ",TRUE,IF(F42&lt;&gt;"","Fundador",""),IF(G42&lt;&gt;"","Anjo",""),IF(H42&lt;&gt;"","VC",""),IF(I42&lt;&gt;"","Gestão",""),IF(J42&lt;&gt;"","Conselho",""),IF(K42&lt;&gt;"","Buscapé","")))</f>
        <v/>
      </c>
      <c r="N42" t="inlineStr"/>
      <c r="O42" s="5" t="inlineStr">
        <is>
          <t>2023</t>
        </is>
      </c>
      <c r="P42" t="inlineStr">
        <is>
          <t>Ativa</t>
        </is>
      </c>
      <c r="Q42" t="inlineStr"/>
      <c r="R42" t="inlineStr">
        <is>
          <t>https://www.crunchbase.com/organization/cycles-nutrition</t>
        </is>
      </c>
      <c r="S42" t="inlineStr">
        <is>
          <t>cycles.png</t>
        </is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5" t="inlineStr">
        <is>
          <t>420</t>
        </is>
      </c>
      <c r="B43" s="5" t="inlineStr">
        <is>
          <t>x</t>
        </is>
      </c>
      <c r="C43" s="5" t="inlineStr"/>
      <c r="D43" t="inlineStr">
        <is>
          <t>Fiibo</t>
        </is>
      </c>
      <c r="E43" t="inlineStr"/>
      <c r="F43" s="5" t="inlineStr"/>
      <c r="G43" s="5" t="inlineStr"/>
      <c r="H43" s="5" t="inlineStr">
        <is>
          <t>x</t>
        </is>
      </c>
      <c r="I43" s="5" t="inlineStr"/>
      <c r="J43" s="5" t="inlineStr"/>
      <c r="K43" s="5" t="inlineStr"/>
      <c r="L43" t="inlineStr"/>
      <c r="M43" s="6">
        <f>IF(L43&lt;&gt;"",L43,_xlfn.TEXTJOIN(" · ",TRUE,IF(F43&lt;&gt;"","Fundador",""),IF(G43&lt;&gt;"","Anjo",""),IF(H43&lt;&gt;"","VC",""),IF(I43&lt;&gt;"","Gestão",""),IF(J43&lt;&gt;"","Conselho",""),IF(K43&lt;&gt;"","Buscapé","")))</f>
        <v/>
      </c>
      <c r="N43" t="inlineStr"/>
      <c r="O43" s="5" t="inlineStr">
        <is>
          <t>2023</t>
        </is>
      </c>
      <c r="P43" t="inlineStr">
        <is>
          <t>Ativa</t>
        </is>
      </c>
      <c r="Q43" t="inlineStr">
        <is>
          <t>https://fiibo.com.br</t>
        </is>
      </c>
      <c r="R43" t="inlineStr">
        <is>
          <t>https://www.crunchbase.com/organization/fiibo</t>
        </is>
      </c>
      <c r="S43" t="inlineStr">
        <is>
          <t>fiibo.png</t>
        </is>
      </c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5" t="inlineStr">
        <is>
          <t>430</t>
        </is>
      </c>
      <c r="B44" s="5" t="inlineStr">
        <is>
          <t>x</t>
        </is>
      </c>
      <c r="C44" s="5" t="inlineStr"/>
      <c r="D44" t="inlineStr">
        <is>
          <t>Fin-X</t>
        </is>
      </c>
      <c r="E44" t="inlineStr"/>
      <c r="F44" s="5" t="inlineStr"/>
      <c r="G44" s="5" t="inlineStr"/>
      <c r="H44" s="5" t="inlineStr">
        <is>
          <t>x</t>
        </is>
      </c>
      <c r="I44" s="5" t="inlineStr"/>
      <c r="J44" s="5" t="inlineStr"/>
      <c r="K44" s="5" t="inlineStr"/>
      <c r="L44" t="inlineStr"/>
      <c r="M44" s="6">
        <f>IF(L44&lt;&gt;"",L44,_xlfn.TEXTJOIN(" · ",TRUE,IF(F44&lt;&gt;"","Fundador",""),IF(G44&lt;&gt;"","Anjo",""),IF(H44&lt;&gt;"","VC",""),IF(I44&lt;&gt;"","Gestão",""),IF(J44&lt;&gt;"","Conselho",""),IF(K44&lt;&gt;"","Buscapé","")))</f>
        <v/>
      </c>
      <c r="N44" t="inlineStr"/>
      <c r="O44" s="5" t="inlineStr">
        <is>
          <t>2023</t>
        </is>
      </c>
      <c r="P44" t="inlineStr">
        <is>
          <t>Ativa</t>
        </is>
      </c>
      <c r="Q44" t="inlineStr"/>
      <c r="R44" t="inlineStr">
        <is>
          <t>https://www.crunchbase.com/organization/fin-x</t>
        </is>
      </c>
      <c r="S44" t="inlineStr">
        <is>
          <t>fin-x.png</t>
        </is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5" t="inlineStr">
        <is>
          <t>440</t>
        </is>
      </c>
      <c r="B45" s="5" t="inlineStr">
        <is>
          <t>x</t>
        </is>
      </c>
      <c r="C45" s="5" t="inlineStr"/>
      <c r="D45" t="inlineStr">
        <is>
          <t>Hubii</t>
        </is>
      </c>
      <c r="E45" t="inlineStr"/>
      <c r="F45" s="5" t="inlineStr"/>
      <c r="G45" s="5" t="inlineStr"/>
      <c r="H45" s="5" t="inlineStr">
        <is>
          <t>x</t>
        </is>
      </c>
      <c r="I45" s="5" t="inlineStr"/>
      <c r="J45" s="5" t="inlineStr"/>
      <c r="K45" s="5" t="inlineStr"/>
      <c r="L45" t="inlineStr"/>
      <c r="M45" s="6">
        <f>IF(L45&lt;&gt;"",L45,_xlfn.TEXTJOIN(" · ",TRUE,IF(F45&lt;&gt;"","Fundador",""),IF(G45&lt;&gt;"","Anjo",""),IF(H45&lt;&gt;"","VC",""),IF(I45&lt;&gt;"","Gestão",""),IF(J45&lt;&gt;"","Conselho",""),IF(K45&lt;&gt;"","Buscapé","")))</f>
        <v/>
      </c>
      <c r="N45" t="inlineStr"/>
      <c r="O45" s="5" t="inlineStr">
        <is>
          <t>2023</t>
        </is>
      </c>
      <c r="P45" t="inlineStr">
        <is>
          <t>Ativa</t>
        </is>
      </c>
      <c r="Q45" t="inlineStr">
        <is>
          <t>https://hubii.com.br/</t>
        </is>
      </c>
      <c r="R45" t="inlineStr">
        <is>
          <t>https://www.crunchbase.com/organization/hubii-7288</t>
        </is>
      </c>
      <c r="S45" t="inlineStr">
        <is>
          <t>hubii.png</t>
        </is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5" t="inlineStr">
        <is>
          <t>450</t>
        </is>
      </c>
      <c r="B46" s="5" t="inlineStr">
        <is>
          <t>x</t>
        </is>
      </c>
      <c r="C46" s="5" t="inlineStr"/>
      <c r="D46" t="inlineStr">
        <is>
          <t>Mission Brasil</t>
        </is>
      </c>
      <c r="E46" t="inlineStr"/>
      <c r="F46" s="5" t="inlineStr"/>
      <c r="G46" s="5" t="inlineStr"/>
      <c r="H46" s="5" t="inlineStr">
        <is>
          <t>x</t>
        </is>
      </c>
      <c r="I46" s="5" t="inlineStr"/>
      <c r="J46" s="5" t="inlineStr"/>
      <c r="K46" s="5" t="inlineStr"/>
      <c r="L46" t="inlineStr"/>
      <c r="M46" s="6">
        <f>IF(L46&lt;&gt;"",L46,_xlfn.TEXTJOIN(" · ",TRUE,IF(F46&lt;&gt;"","Fundador",""),IF(G46&lt;&gt;"","Anjo",""),IF(H46&lt;&gt;"","VC",""),IF(I46&lt;&gt;"","Gestão",""),IF(J46&lt;&gt;"","Conselho",""),IF(K46&lt;&gt;"","Buscapé","")))</f>
        <v/>
      </c>
      <c r="N46" t="inlineStr"/>
      <c r="O46" s="5" t="inlineStr">
        <is>
          <t>2023</t>
        </is>
      </c>
      <c r="P46" t="inlineStr">
        <is>
          <t>Ativa</t>
        </is>
      </c>
      <c r="Q46" t="inlineStr">
        <is>
          <t>https://missionbrasil.com.br/</t>
        </is>
      </c>
      <c r="R46" t="inlineStr">
        <is>
          <t>https://www.crunchbase.com/organization/mission-brasil</t>
        </is>
      </c>
      <c r="S46" t="inlineStr">
        <is>
          <t>mission-brasil.png</t>
        </is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5" t="inlineStr">
        <is>
          <t>460</t>
        </is>
      </c>
      <c r="B47" s="5" t="inlineStr">
        <is>
          <t>x</t>
        </is>
      </c>
      <c r="C47" s="5" t="inlineStr"/>
      <c r="D47" t="inlineStr">
        <is>
          <t>Trinus</t>
        </is>
      </c>
      <c r="E47" t="inlineStr"/>
      <c r="F47" s="5" t="inlineStr"/>
      <c r="G47" s="5" t="inlineStr"/>
      <c r="H47" s="5" t="inlineStr">
        <is>
          <t>x</t>
        </is>
      </c>
      <c r="I47" s="5" t="inlineStr"/>
      <c r="J47" s="5" t="inlineStr"/>
      <c r="K47" s="5" t="inlineStr"/>
      <c r="L47" t="inlineStr"/>
      <c r="M47" s="6">
        <f>IF(L47&lt;&gt;"",L47,_xlfn.TEXTJOIN(" · ",TRUE,IF(F47&lt;&gt;"","Fundador",""),IF(G47&lt;&gt;"","Anjo",""),IF(H47&lt;&gt;"","VC",""),IF(I47&lt;&gt;"","Gestão",""),IF(J47&lt;&gt;"","Conselho",""),IF(K47&lt;&gt;"","Buscapé","")))</f>
        <v/>
      </c>
      <c r="N47" t="inlineStr"/>
      <c r="O47" s="5" t="inlineStr">
        <is>
          <t>2023</t>
        </is>
      </c>
      <c r="P47" t="inlineStr">
        <is>
          <t>Ativa</t>
        </is>
      </c>
      <c r="Q47" t="inlineStr">
        <is>
          <t>https://trinus.co</t>
        </is>
      </c>
      <c r="R47" t="inlineStr">
        <is>
          <t>https://www.crunchbase.com/organization/trinus-co</t>
        </is>
      </c>
      <c r="S47" t="inlineStr">
        <is>
          <t>trinus.png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5" t="inlineStr">
        <is>
          <t>470</t>
        </is>
      </c>
      <c r="B48" s="5" t="inlineStr">
        <is>
          <t>x</t>
        </is>
      </c>
      <c r="C48" s="5" t="inlineStr"/>
      <c r="D48" t="inlineStr">
        <is>
          <t>Upik</t>
        </is>
      </c>
      <c r="E48" t="inlineStr"/>
      <c r="F48" s="5" t="inlineStr"/>
      <c r="G48" s="5" t="inlineStr"/>
      <c r="H48" s="5" t="inlineStr">
        <is>
          <t>x</t>
        </is>
      </c>
      <c r="I48" s="5" t="inlineStr"/>
      <c r="J48" s="5" t="inlineStr"/>
      <c r="K48" s="5" t="inlineStr"/>
      <c r="L48" t="inlineStr"/>
      <c r="M48" s="6">
        <f>IF(L48&lt;&gt;"",L48,_xlfn.TEXTJOIN(" · ",TRUE,IF(F48&lt;&gt;"","Fundador",""),IF(G48&lt;&gt;"","Anjo",""),IF(H48&lt;&gt;"","VC",""),IF(I48&lt;&gt;"","Gestão",""),IF(J48&lt;&gt;"","Conselho",""),IF(K48&lt;&gt;"","Buscapé","")))</f>
        <v/>
      </c>
      <c r="N48" t="inlineStr"/>
      <c r="O48" s="5" t="inlineStr">
        <is>
          <t>2023</t>
        </is>
      </c>
      <c r="P48" t="inlineStr">
        <is>
          <t>Ativa</t>
        </is>
      </c>
      <c r="Q48" t="inlineStr"/>
      <c r="R48" t="inlineStr">
        <is>
          <t>https://www.crunchbase.com/organization/upik</t>
        </is>
      </c>
      <c r="S48" t="inlineStr">
        <is>
          <t>upik.png</t>
        </is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5" t="inlineStr">
        <is>
          <t>480</t>
        </is>
      </c>
      <c r="B49" s="5" t="inlineStr">
        <is>
          <t>x</t>
        </is>
      </c>
      <c r="C49" s="5" t="inlineStr"/>
      <c r="D49" t="inlineStr">
        <is>
          <t>Smart Break</t>
        </is>
      </c>
      <c r="E49" t="inlineStr"/>
      <c r="F49" s="5" t="inlineStr"/>
      <c r="G49" s="5" t="inlineStr"/>
      <c r="H49" s="5" t="inlineStr">
        <is>
          <t>x</t>
        </is>
      </c>
      <c r="I49" s="5" t="inlineStr"/>
      <c r="J49" s="5" t="inlineStr"/>
      <c r="K49" s="5" t="inlineStr"/>
      <c r="L49" t="inlineStr"/>
      <c r="M49" s="6">
        <f>IF(L49&lt;&gt;"",L49,_xlfn.TEXTJOIN(" · ",TRUE,IF(F49&lt;&gt;"","Fundador",""),IF(G49&lt;&gt;"","Anjo",""),IF(H49&lt;&gt;"","VC",""),IF(I49&lt;&gt;"","Gestão",""),IF(J49&lt;&gt;"","Conselho",""),IF(K49&lt;&gt;"","Buscapé","")))</f>
        <v/>
      </c>
      <c r="N49" t="inlineStr"/>
      <c r="O49" s="5" t="inlineStr">
        <is>
          <t>2022</t>
        </is>
      </c>
      <c r="P49" t="inlineStr">
        <is>
          <t>Ativa</t>
        </is>
      </c>
      <c r="Q49" t="inlineStr"/>
      <c r="R49" t="inlineStr">
        <is>
          <t>https://www.crunchbase.com/organization/smart-break</t>
        </is>
      </c>
      <c r="S49" t="inlineStr">
        <is>
          <t>smart-break.png</t>
        </is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5" t="inlineStr">
        <is>
          <t>490</t>
        </is>
      </c>
      <c r="B50" s="5" t="inlineStr">
        <is>
          <t>x</t>
        </is>
      </c>
      <c r="C50" s="5" t="inlineStr"/>
      <c r="D50" t="inlineStr">
        <is>
          <t>XP Inc.</t>
        </is>
      </c>
      <c r="E50" t="inlineStr"/>
      <c r="F50" s="5" t="inlineStr"/>
      <c r="G50" s="5" t="inlineStr"/>
      <c r="H50" s="5" t="inlineStr"/>
      <c r="I50" s="5" t="inlineStr">
        <is>
          <t>x</t>
        </is>
      </c>
      <c r="J50" s="5" t="inlineStr"/>
      <c r="K50" s="5" t="inlineStr"/>
      <c r="L50" t="inlineStr">
        <is>
          <t>Sócio e executivo</t>
        </is>
      </c>
      <c r="M50" s="6">
        <f>IF(L50&lt;&gt;"",L50,_xlfn.TEXTJOIN(" · ",TRUE,IF(F50&lt;&gt;"","Fundador",""),IF(G50&lt;&gt;"","Anjo",""),IF(H50&lt;&gt;"","VC",""),IF(I50&lt;&gt;"","Gestão",""),IF(J50&lt;&gt;"","Conselho",""),IF(K50&lt;&gt;"","Buscapé","")))</f>
        <v/>
      </c>
      <c r="N50" t="inlineStr"/>
      <c r="O50" s="5" t="inlineStr">
        <is>
          <t>2022</t>
        </is>
      </c>
      <c r="P50" t="inlineStr"/>
      <c r="Q50" t="inlineStr"/>
      <c r="R50" t="inlineStr">
        <is>
          <t>https://www.crunchbase.com/organization/grupo-xp</t>
        </is>
      </c>
      <c r="S50" t="inlineStr">
        <is>
          <t>xp-inc.png</t>
        </is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5" t="inlineStr">
        <is>
          <t>500</t>
        </is>
      </c>
      <c r="B51" s="5" t="inlineStr">
        <is>
          <t>x</t>
        </is>
      </c>
      <c r="C51" s="5" t="inlineStr"/>
      <c r="D51" t="inlineStr">
        <is>
          <t>Kzas</t>
        </is>
      </c>
      <c r="E51" t="inlineStr"/>
      <c r="F51" s="5" t="inlineStr"/>
      <c r="G51" s="5" t="inlineStr"/>
      <c r="H51" s="5" t="inlineStr">
        <is>
          <t>x</t>
        </is>
      </c>
      <c r="I51" s="5" t="inlineStr"/>
      <c r="J51" s="5" t="inlineStr"/>
      <c r="K51" s="5" t="inlineStr"/>
      <c r="L51" t="inlineStr"/>
      <c r="M51" s="6">
        <f>IF(L51&lt;&gt;"",L51,_xlfn.TEXTJOIN(" · ",TRUE,IF(F51&lt;&gt;"","Fundador",""),IF(G51&lt;&gt;"","Anjo",""),IF(H51&lt;&gt;"","VC",""),IF(I51&lt;&gt;"","Gestão",""),IF(J51&lt;&gt;"","Conselho",""),IF(K51&lt;&gt;"","Buscapé","")))</f>
        <v/>
      </c>
      <c r="N51" t="inlineStr"/>
      <c r="O51" s="5" t="inlineStr">
        <is>
          <t>2020</t>
        </is>
      </c>
      <c r="P51" t="inlineStr">
        <is>
          <t>Saída</t>
        </is>
      </c>
      <c r="Q51" t="inlineStr"/>
      <c r="R51" t="inlineStr">
        <is>
          <t>https://www.crunchbase.com/organization/kzas-ai</t>
        </is>
      </c>
      <c r="S51" t="inlineStr">
        <is>
          <t>kzas.png</t>
        </is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5" t="inlineStr">
        <is>
          <t>510</t>
        </is>
      </c>
      <c r="B52" s="5" t="inlineStr">
        <is>
          <t>x</t>
        </is>
      </c>
      <c r="C52" s="5" t="inlineStr"/>
      <c r="D52" t="inlineStr">
        <is>
          <t>Antecipa</t>
        </is>
      </c>
      <c r="E52" t="inlineStr"/>
      <c r="F52" s="5" t="inlineStr"/>
      <c r="G52" s="5" t="inlineStr"/>
      <c r="H52" s="5" t="inlineStr">
        <is>
          <t>x</t>
        </is>
      </c>
      <c r="I52" s="5" t="inlineStr"/>
      <c r="J52" s="5" t="inlineStr"/>
      <c r="K52" s="5" t="inlineStr"/>
      <c r="L52" t="inlineStr"/>
      <c r="M52" s="6">
        <f>IF(L52&lt;&gt;"",L52,_xlfn.TEXTJOIN(" · ",TRUE,IF(F52&lt;&gt;"","Fundador",""),IF(G52&lt;&gt;"","Anjo",""),IF(H52&lt;&gt;"","VC",""),IF(I52&lt;&gt;"","Gestão",""),IF(J52&lt;&gt;"","Conselho",""),IF(K52&lt;&gt;"","Buscapé","")))</f>
        <v/>
      </c>
      <c r="N52" t="inlineStr"/>
      <c r="O52" s="5" t="inlineStr">
        <is>
          <t>2019</t>
        </is>
      </c>
      <c r="P52" t="inlineStr">
        <is>
          <t>Saída</t>
        </is>
      </c>
      <c r="Q52" t="inlineStr">
        <is>
          <t>https://antecipa.com/</t>
        </is>
      </c>
      <c r="R52" t="inlineStr">
        <is>
          <t>https://www.crunchbase.com/organization/antecipa</t>
        </is>
      </c>
      <c r="S52" t="inlineStr">
        <is>
          <t>antecipa.png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5" t="inlineStr">
        <is>
          <t>520</t>
        </is>
      </c>
      <c r="B53" s="5" t="inlineStr">
        <is>
          <t>x</t>
        </is>
      </c>
      <c r="C53" s="5" t="inlineStr"/>
      <c r="D53" t="inlineStr">
        <is>
          <t>GigU</t>
        </is>
      </c>
      <c r="E53" t="inlineStr"/>
      <c r="F53" s="5" t="inlineStr"/>
      <c r="G53" s="5" t="inlineStr"/>
      <c r="H53" s="5" t="inlineStr">
        <is>
          <t>x</t>
        </is>
      </c>
      <c r="I53" s="5" t="inlineStr"/>
      <c r="J53" s="5" t="inlineStr"/>
      <c r="K53" s="5" t="inlineStr"/>
      <c r="L53" t="inlineStr"/>
      <c r="M53" s="6">
        <f>IF(L53&lt;&gt;"",L53,_xlfn.TEXTJOIN(" · ",TRUE,IF(F53&lt;&gt;"","Fundador",""),IF(G53&lt;&gt;"","Anjo",""),IF(H53&lt;&gt;"","VC",""),IF(I53&lt;&gt;"","Gestão",""),IF(J53&lt;&gt;"","Conselho",""),IF(K53&lt;&gt;"","Buscapé","")))</f>
        <v/>
      </c>
      <c r="N53" t="inlineStr"/>
      <c r="O53" s="5" t="inlineStr">
        <is>
          <t>2019</t>
        </is>
      </c>
      <c r="P53" t="inlineStr">
        <is>
          <t>Ativa</t>
        </is>
      </c>
      <c r="Q53" t="inlineStr">
        <is>
          <t>https://site.stopclub.com.br/</t>
        </is>
      </c>
      <c r="R53" t="inlineStr">
        <is>
          <t>https://www.crunchbase.com/organization/stopclub</t>
        </is>
      </c>
      <c r="S53" t="inlineStr">
        <is>
          <t>gigu.png</t>
        </is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5" t="inlineStr">
        <is>
          <t>530</t>
        </is>
      </c>
      <c r="B54" s="5" t="inlineStr">
        <is>
          <t>x</t>
        </is>
      </c>
      <c r="C54" s="5" t="inlineStr"/>
      <c r="D54" t="inlineStr">
        <is>
          <t>Vittude</t>
        </is>
      </c>
      <c r="E54" t="inlineStr"/>
      <c r="F54" s="5" t="inlineStr"/>
      <c r="G54" s="5" t="inlineStr"/>
      <c r="H54" s="5" t="inlineStr">
        <is>
          <t>x</t>
        </is>
      </c>
      <c r="I54" s="5" t="inlineStr"/>
      <c r="J54" s="5" t="inlineStr"/>
      <c r="K54" s="5" t="inlineStr"/>
      <c r="L54" t="inlineStr"/>
      <c r="M54" s="6">
        <f>IF(L54&lt;&gt;"",L54,_xlfn.TEXTJOIN(" · ",TRUE,IF(F54&lt;&gt;"","Fundador",""),IF(G54&lt;&gt;"","Anjo",""),IF(H54&lt;&gt;"","VC",""),IF(I54&lt;&gt;"","Gestão",""),IF(J54&lt;&gt;"","Conselho",""),IF(K54&lt;&gt;"","Buscapé","")))</f>
        <v/>
      </c>
      <c r="N54" t="inlineStr"/>
      <c r="O54" s="5" t="inlineStr">
        <is>
          <t>2019</t>
        </is>
      </c>
      <c r="P54" t="inlineStr">
        <is>
          <t>Ativa</t>
        </is>
      </c>
      <c r="Q54" t="inlineStr">
        <is>
          <t>https://vittude.com/</t>
        </is>
      </c>
      <c r="R54" t="inlineStr">
        <is>
          <t>https://www.crunchbase.com/organization/vittude</t>
        </is>
      </c>
      <c r="S54" t="inlineStr">
        <is>
          <t>vittude.png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5" t="inlineStr">
        <is>
          <t>540</t>
        </is>
      </c>
      <c r="B55" s="5" t="inlineStr">
        <is>
          <t>x</t>
        </is>
      </c>
      <c r="C55" s="5" t="inlineStr"/>
      <c r="D55" t="inlineStr">
        <is>
          <t>Repassa</t>
        </is>
      </c>
      <c r="E55" t="inlineStr"/>
      <c r="F55" s="5" t="inlineStr"/>
      <c r="G55" s="5" t="inlineStr"/>
      <c r="H55" s="5" t="inlineStr">
        <is>
          <t>x</t>
        </is>
      </c>
      <c r="I55" s="5" t="inlineStr"/>
      <c r="J55" s="5" t="inlineStr"/>
      <c r="K55" s="5" t="inlineStr"/>
      <c r="L55" t="inlineStr"/>
      <c r="M55" s="6">
        <f>IF(L55&lt;&gt;"",L55,_xlfn.TEXTJOIN(" · ",TRUE,IF(F55&lt;&gt;"","Fundador",""),IF(G55&lt;&gt;"","Anjo",""),IF(H55&lt;&gt;"","VC",""),IF(I55&lt;&gt;"","Gestão",""),IF(J55&lt;&gt;"","Conselho",""),IF(K55&lt;&gt;"","Buscapé","")))</f>
        <v/>
      </c>
      <c r="N55" t="inlineStr"/>
      <c r="O55" s="5" t="inlineStr">
        <is>
          <t>2018</t>
        </is>
      </c>
      <c r="P55" t="inlineStr">
        <is>
          <t>Adquirida · 2021</t>
        </is>
      </c>
      <c r="Q55" t="inlineStr">
        <is>
          <t>https://www.repassa.com.br</t>
        </is>
      </c>
      <c r="R55" t="inlineStr">
        <is>
          <t>https://www.crunchbase.com/organization/repassa</t>
        </is>
      </c>
      <c r="S55" t="inlineStr">
        <is>
          <t>repassa.png</t>
        </is>
      </c>
      <c r="T55" t="inlineStr"/>
      <c r="U55" t="inlineStr"/>
      <c r="V55" t="inlineStr"/>
      <c r="W55" t="inlineStr">
        <is>
          <t>https://braziljournal.com/renner-compra-repassa-e-entra-no-mercado-de-usados/</t>
        </is>
      </c>
      <c r="X55" t="inlineStr">
        <is>
          <t>Renner compra a Repassa</t>
        </is>
      </c>
      <c r="Y55" t="inlineStr">
        <is>
          <t>Brazil Journal · jul 2021</t>
        </is>
      </c>
      <c r="Z55" t="inlineStr"/>
    </row>
    <row r="56">
      <c r="A56" s="5" t="inlineStr">
        <is>
          <t>550</t>
        </is>
      </c>
      <c r="B56" s="5" t="inlineStr">
        <is>
          <t>x</t>
        </is>
      </c>
      <c r="C56" s="5" t="inlineStr"/>
      <c r="D56" t="inlineStr">
        <is>
          <t>ABFintechs</t>
        </is>
      </c>
      <c r="E56" t="inlineStr"/>
      <c r="F56" s="5" t="inlineStr"/>
      <c r="G56" s="5" t="inlineStr"/>
      <c r="H56" s="5" t="inlineStr"/>
      <c r="I56" s="5" t="inlineStr"/>
      <c r="J56" s="5" t="inlineStr">
        <is>
          <t>x</t>
        </is>
      </c>
      <c r="K56" s="5" t="inlineStr"/>
      <c r="L56" t="inlineStr"/>
      <c r="M56" s="6">
        <f>IF(L56&lt;&gt;"",L56,_xlfn.TEXTJOIN(" · ",TRUE,IF(F56&lt;&gt;"","Fundador",""),IF(G56&lt;&gt;"","Anjo",""),IF(H56&lt;&gt;"","VC",""),IF(I56&lt;&gt;"","Gestão",""),IF(J56&lt;&gt;"","Conselho",""),IF(K56&lt;&gt;"","Buscapé","")))</f>
        <v/>
      </c>
      <c r="N56" t="inlineStr"/>
      <c r="O56" s="5" t="inlineStr">
        <is>
          <t>2017</t>
        </is>
      </c>
      <c r="P56" t="inlineStr"/>
      <c r="Q56" t="inlineStr">
        <is>
          <t>https://www.abfintechs.com.br/</t>
        </is>
      </c>
      <c r="R56" t="inlineStr">
        <is>
          <t>https://www.crunchbase.com/organization/abfintechs</t>
        </is>
      </c>
      <c r="S56" t="inlineStr">
        <is>
          <t>abfintechs.png</t>
        </is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5" t="inlineStr">
        <is>
          <t>560</t>
        </is>
      </c>
      <c r="B57" s="5" t="inlineStr">
        <is>
          <t>x</t>
        </is>
      </c>
      <c r="C57" s="5" t="inlineStr"/>
      <c r="D57" t="inlineStr">
        <is>
          <t>Consulta do Bem</t>
        </is>
      </c>
      <c r="E57" t="inlineStr"/>
      <c r="F57" s="5" t="inlineStr"/>
      <c r="G57" s="5" t="inlineStr"/>
      <c r="H57" s="5" t="inlineStr">
        <is>
          <t>x</t>
        </is>
      </c>
      <c r="I57" s="5" t="inlineStr"/>
      <c r="J57" s="5" t="inlineStr"/>
      <c r="K57" s="5" t="inlineStr"/>
      <c r="L57" t="inlineStr"/>
      <c r="M57" s="6">
        <f>IF(L57&lt;&gt;"",L57,_xlfn.TEXTJOIN(" · ",TRUE,IF(F57&lt;&gt;"","Fundador",""),IF(G57&lt;&gt;"","Anjo",""),IF(H57&lt;&gt;"","VC",""),IF(I57&lt;&gt;"","Gestão",""),IF(J57&lt;&gt;"","Conselho",""),IF(K57&lt;&gt;"","Buscapé","")))</f>
        <v/>
      </c>
      <c r="N57" t="inlineStr"/>
      <c r="O57" s="5" t="inlineStr">
        <is>
          <t>2016</t>
        </is>
      </c>
      <c r="P57" t="inlineStr">
        <is>
          <t>Encerrada</t>
        </is>
      </c>
      <c r="Q57" t="inlineStr"/>
      <c r="R57" t="inlineStr">
        <is>
          <t>https://www.crunchbase.com/organization/consulta-do-bem</t>
        </is>
      </c>
      <c r="S57" t="inlineStr">
        <is>
          <t>consulta-do-bem.png</t>
        </is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5" t="inlineStr">
        <is>
          <t>620</t>
        </is>
      </c>
      <c r="B58" s="5" t="inlineStr">
        <is>
          <t>x</t>
        </is>
      </c>
      <c r="C58" s="5" t="inlineStr"/>
      <c r="D58" t="inlineStr">
        <is>
          <t>In Loco</t>
        </is>
      </c>
      <c r="E58" t="inlineStr"/>
      <c r="F58" s="5" t="inlineStr"/>
      <c r="G58" s="5" t="inlineStr"/>
      <c r="H58" s="5" t="inlineStr"/>
      <c r="I58" s="5" t="inlineStr"/>
      <c r="J58" s="5" t="inlineStr"/>
      <c r="K58" s="5" t="inlineStr">
        <is>
          <t>x</t>
        </is>
      </c>
      <c r="L58" t="inlineStr"/>
      <c r="M58" s="6">
        <f>IF(L58&lt;&gt;"",L58,_xlfn.TEXTJOIN(" · ",TRUE,IF(F58&lt;&gt;"","Fundador",""),IF(G58&lt;&gt;"","Anjo",""),IF(H58&lt;&gt;"","VC",""),IF(I58&lt;&gt;"","Gestão",""),IF(J58&lt;&gt;"","Conselho",""),IF(K58&lt;&gt;"","Buscapé","")))</f>
        <v/>
      </c>
      <c r="N58" t="inlineStr"/>
      <c r="O58" s="5" t="inlineStr">
        <is>
          <t>2014</t>
        </is>
      </c>
      <c r="P58" t="inlineStr"/>
      <c r="Q58" t="inlineStr">
        <is>
          <t>https://www.incognia.com/</t>
        </is>
      </c>
      <c r="R58" t="inlineStr">
        <is>
          <t>https://www.crunchbase.com/organization/ubee</t>
        </is>
      </c>
      <c r="S58" t="inlineStr">
        <is>
          <t>in-loco.png</t>
        </is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s="5" t="inlineStr">
        <is>
          <t>640</t>
        </is>
      </c>
      <c r="B59" s="5" t="inlineStr">
        <is>
          <t>x</t>
        </is>
      </c>
      <c r="C59" s="5" t="inlineStr"/>
      <c r="D59" t="inlineStr">
        <is>
          <t>PayU</t>
        </is>
      </c>
      <c r="E59" t="inlineStr"/>
      <c r="F59" s="5" t="inlineStr"/>
      <c r="G59" s="5" t="inlineStr"/>
      <c r="H59" s="5" t="inlineStr"/>
      <c r="I59" s="5" t="inlineStr"/>
      <c r="J59" s="5" t="inlineStr">
        <is>
          <t>x</t>
        </is>
      </c>
      <c r="K59" s="5" t="inlineStr"/>
      <c r="L59" t="inlineStr"/>
      <c r="M59" s="6">
        <f>IF(L59&lt;&gt;"",L59,_xlfn.TEXTJOIN(" · ",TRUE,IF(F59&lt;&gt;"","Fundador",""),IF(G59&lt;&gt;"","Anjo",""),IF(H59&lt;&gt;"","VC",""),IF(I59&lt;&gt;"","Gestão",""),IF(J59&lt;&gt;"","Conselho",""),IF(K59&lt;&gt;"","Buscapé","")))</f>
        <v/>
      </c>
      <c r="N59" t="inlineStr"/>
      <c r="O59" s="5" t="inlineStr">
        <is>
          <t>2014</t>
        </is>
      </c>
      <c r="P59" t="inlineStr"/>
      <c r="Q59" t="inlineStr">
        <is>
          <t>https://corporate.payu.com</t>
        </is>
      </c>
      <c r="R59" t="inlineStr">
        <is>
          <t>https://www.crunchbase.com/organization/payu</t>
        </is>
      </c>
      <c r="S59" t="inlineStr">
        <is>
          <t>payu.png</t>
        </is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5" t="inlineStr">
        <is>
          <t>720</t>
        </is>
      </c>
      <c r="B60" s="5" t="inlineStr"/>
      <c r="C60" s="5" t="inlineStr"/>
      <c r="D60" t="inlineStr">
        <is>
          <t>Btarget</t>
        </is>
      </c>
      <c r="E60" t="inlineStr"/>
      <c r="F60" s="5" t="inlineStr"/>
      <c r="G60" s="5" t="inlineStr"/>
      <c r="H60" s="5" t="inlineStr"/>
      <c r="I60" s="5" t="inlineStr"/>
      <c r="J60" s="5" t="inlineStr"/>
      <c r="K60" s="5" t="inlineStr">
        <is>
          <t>x</t>
        </is>
      </c>
      <c r="L60" t="inlineStr"/>
      <c r="M60" s="6">
        <f>IF(L60&lt;&gt;"",L60,_xlfn.TEXTJOIN(" · ",TRUE,IF(F60&lt;&gt;"","Fundador",""),IF(G60&lt;&gt;"","Anjo",""),IF(H60&lt;&gt;"","VC",""),IF(I60&lt;&gt;"","Gestão",""),IF(J60&lt;&gt;"","Conselho",""),IF(K60&lt;&gt;"","Buscapé","")))</f>
        <v/>
      </c>
      <c r="N60" t="inlineStr"/>
      <c r="O60" s="5" t="inlineStr">
        <is>
          <t>2013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s="5" t="inlineStr">
        <is>
          <t>730</t>
        </is>
      </c>
      <c r="B61" s="5" t="inlineStr">
        <is>
          <t>x</t>
        </is>
      </c>
      <c r="C61" s="5" t="inlineStr"/>
      <c r="D61" t="inlineStr">
        <is>
          <t>Cuponeria</t>
        </is>
      </c>
      <c r="E61" t="inlineStr"/>
      <c r="F61" s="5" t="inlineStr"/>
      <c r="G61" s="5" t="inlineStr"/>
      <c r="H61" s="5" t="inlineStr"/>
      <c r="I61" s="5" t="inlineStr"/>
      <c r="J61" s="5" t="inlineStr"/>
      <c r="K61" s="5" t="inlineStr">
        <is>
          <t>x</t>
        </is>
      </c>
      <c r="L61" t="inlineStr"/>
      <c r="M61" s="6">
        <f>IF(L61&lt;&gt;"",L61,_xlfn.TEXTJOIN(" · ",TRUE,IF(F61&lt;&gt;"","Fundador",""),IF(G61&lt;&gt;"","Anjo",""),IF(H61&lt;&gt;"","VC",""),IF(I61&lt;&gt;"","Gestão",""),IF(J61&lt;&gt;"","Conselho",""),IF(K61&lt;&gt;"","Buscapé","")))</f>
        <v/>
      </c>
      <c r="N61" t="inlineStr"/>
      <c r="O61" s="5" t="inlineStr">
        <is>
          <t>2012</t>
        </is>
      </c>
      <c r="P61" t="inlineStr"/>
      <c r="Q61" t="inlineStr">
        <is>
          <t>https://www.cuponeria.com.br</t>
        </is>
      </c>
      <c r="R61" t="inlineStr">
        <is>
          <t>https://www.crunchbase.com/organization/cuponeria</t>
        </is>
      </c>
      <c r="S61" t="inlineStr">
        <is>
          <t>cuponeria.png</t>
        </is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5" t="inlineStr">
        <is>
          <t>740</t>
        </is>
      </c>
      <c r="B62" s="5" t="inlineStr">
        <is>
          <t>x</t>
        </is>
      </c>
      <c r="C62" s="5" t="inlineStr"/>
      <c r="D62" t="inlineStr">
        <is>
          <t>Redpoint e.ventures</t>
        </is>
      </c>
      <c r="E62" t="inlineStr"/>
      <c r="F62" s="5" t="inlineStr"/>
      <c r="G62" s="5" t="inlineStr"/>
      <c r="H62" s="5" t="inlineStr"/>
      <c r="I62" s="5" t="inlineStr">
        <is>
          <t>x</t>
        </is>
      </c>
      <c r="J62" s="5" t="inlineStr"/>
      <c r="K62" s="5" t="inlineStr"/>
      <c r="L62" t="inlineStr">
        <is>
          <t>Sócio de Gestora</t>
        </is>
      </c>
      <c r="M62" s="6">
        <f>IF(L62&lt;&gt;"",L62,_xlfn.TEXTJOIN(" · ",TRUE,IF(F62&lt;&gt;"","Fundador",""),IF(G62&lt;&gt;"","Anjo",""),IF(H62&lt;&gt;"","VC",""),IF(I62&lt;&gt;"","Gestão",""),IF(J62&lt;&gt;"","Conselho",""),IF(K62&lt;&gt;"","Buscapé","")))</f>
        <v/>
      </c>
      <c r="N62" t="inlineStr"/>
      <c r="O62" s="5" t="inlineStr">
        <is>
          <t>2012</t>
        </is>
      </c>
      <c r="P62" t="inlineStr"/>
      <c r="Q62" t="inlineStr">
        <is>
          <t>https://rpev.com.br/</t>
        </is>
      </c>
      <c r="R62" t="inlineStr">
        <is>
          <t>https://www.crunchbase.com/organization/redpoint-eventures</t>
        </is>
      </c>
      <c r="S62" t="inlineStr">
        <is>
          <t>redpoint-eventures.png</t>
        </is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5" t="inlineStr">
        <is>
          <t>750</t>
        </is>
      </c>
      <c r="B63" s="5" t="inlineStr">
        <is>
          <t>x</t>
        </is>
      </c>
      <c r="C63" s="5" t="inlineStr"/>
      <c r="D63" t="inlineStr">
        <is>
          <t>Shopcliq</t>
        </is>
      </c>
      <c r="E63" t="inlineStr"/>
      <c r="F63" s="5" t="inlineStr"/>
      <c r="G63" s="5" t="inlineStr"/>
      <c r="H63" s="5" t="inlineStr"/>
      <c r="I63" s="5" t="inlineStr"/>
      <c r="J63" s="5" t="inlineStr"/>
      <c r="K63" s="5" t="inlineStr">
        <is>
          <t>x</t>
        </is>
      </c>
      <c r="L63" t="inlineStr"/>
      <c r="M63" s="6">
        <f>IF(L63&lt;&gt;"",L63,_xlfn.TEXTJOIN(" · ",TRUE,IF(F63&lt;&gt;"","Fundador",""),IF(G63&lt;&gt;"","Anjo",""),IF(H63&lt;&gt;"","VC",""),IF(I63&lt;&gt;"","Gestão",""),IF(J63&lt;&gt;"","Conselho",""),IF(K63&lt;&gt;"","Buscapé","")))</f>
        <v/>
      </c>
      <c r="N63" t="inlineStr"/>
      <c r="O63" s="5" t="inlineStr">
        <is>
          <t>2012</t>
        </is>
      </c>
      <c r="P63" t="inlineStr"/>
      <c r="Q63" t="inlineStr"/>
      <c r="R63" t="inlineStr">
        <is>
          <t>https://www.crunchbase.com/organization/shopcliq</t>
        </is>
      </c>
      <c r="S63" t="inlineStr">
        <is>
          <t>shopcliq.png</t>
        </is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5" t="inlineStr">
        <is>
          <t>760</t>
        </is>
      </c>
      <c r="B64" s="5" t="inlineStr">
        <is>
          <t>x</t>
        </is>
      </c>
      <c r="C64" s="5" t="inlineStr"/>
      <c r="D64" t="inlineStr">
        <is>
          <t>Brandsclub</t>
        </is>
      </c>
      <c r="E64" t="inlineStr"/>
      <c r="F64" s="5" t="inlineStr"/>
      <c r="G64" s="5" t="inlineStr"/>
      <c r="H64" s="5" t="inlineStr"/>
      <c r="I64" s="5" t="inlineStr"/>
      <c r="J64" s="5" t="inlineStr"/>
      <c r="K64" s="5" t="inlineStr">
        <is>
          <t>x</t>
        </is>
      </c>
      <c r="L64" t="inlineStr"/>
      <c r="M64" s="6">
        <f>IF(L64&lt;&gt;"",L64,_xlfn.TEXTJOIN(" · ",TRUE,IF(F64&lt;&gt;"","Fundador",""),IF(G64&lt;&gt;"","Anjo",""),IF(H64&lt;&gt;"","VC",""),IF(I64&lt;&gt;"","Gestão",""),IF(J64&lt;&gt;"","Conselho",""),IF(K64&lt;&gt;"","Buscapé","")))</f>
        <v/>
      </c>
      <c r="N64" t="inlineStr"/>
      <c r="O64" s="5" t="inlineStr">
        <is>
          <t>2011</t>
        </is>
      </c>
      <c r="P64" t="inlineStr"/>
      <c r="Q64" t="inlineStr"/>
      <c r="R64" t="inlineStr">
        <is>
          <t>https://www.crunchbase.com/organization/brandsclub</t>
        </is>
      </c>
      <c r="S64" t="inlineStr">
        <is>
          <t>brandsclub.png</t>
        </is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s="5" t="inlineStr">
        <is>
          <t>770</t>
        </is>
      </c>
      <c r="B65" s="5" t="inlineStr">
        <is>
          <t>x</t>
        </is>
      </c>
      <c r="C65" s="5" t="inlineStr"/>
      <c r="D65" t="inlineStr">
        <is>
          <t>DineroMail</t>
        </is>
      </c>
      <c r="E65" t="inlineStr"/>
      <c r="F65" s="5" t="inlineStr"/>
      <c r="G65" s="5" t="inlineStr"/>
      <c r="H65" s="5" t="inlineStr"/>
      <c r="I65" s="5" t="inlineStr"/>
      <c r="J65" s="5" t="inlineStr"/>
      <c r="K65" s="5" t="inlineStr">
        <is>
          <t>x</t>
        </is>
      </c>
      <c r="L65" t="inlineStr"/>
      <c r="M65" s="6">
        <f>IF(L65&lt;&gt;"",L65,_xlfn.TEXTJOIN(" · ",TRUE,IF(F65&lt;&gt;"","Fundador",""),IF(G65&lt;&gt;"","Anjo",""),IF(H65&lt;&gt;"","VC",""),IF(I65&lt;&gt;"","Gestão",""),IF(J65&lt;&gt;"","Conselho",""),IF(K65&lt;&gt;"","Buscapé","")))</f>
        <v/>
      </c>
      <c r="N65" t="inlineStr"/>
      <c r="O65" s="5" t="inlineStr">
        <is>
          <t>2011</t>
        </is>
      </c>
      <c r="P65" t="inlineStr"/>
      <c r="Q65" t="inlineStr"/>
      <c r="R65" t="inlineStr">
        <is>
          <t>https://www.crunchbase.com/organization/dineromail</t>
        </is>
      </c>
      <c r="S65" t="inlineStr">
        <is>
          <t>dineromail.png</t>
        </is>
      </c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5" t="inlineStr">
        <is>
          <t>780</t>
        </is>
      </c>
      <c r="B66" s="5" t="inlineStr">
        <is>
          <t>x</t>
        </is>
      </c>
      <c r="C66" s="5" t="inlineStr"/>
      <c r="D66" t="inlineStr">
        <is>
          <t>MeuCarrinho</t>
        </is>
      </c>
      <c r="E66" t="inlineStr"/>
      <c r="F66" s="5" t="inlineStr"/>
      <c r="G66" s="5" t="inlineStr"/>
      <c r="H66" s="5" t="inlineStr"/>
      <c r="I66" s="5" t="inlineStr"/>
      <c r="J66" s="5" t="inlineStr"/>
      <c r="K66" s="5" t="inlineStr">
        <is>
          <t>x</t>
        </is>
      </c>
      <c r="L66" t="inlineStr"/>
      <c r="M66" s="6">
        <f>IF(L66&lt;&gt;"",L66,_xlfn.TEXTJOIN(" · ",TRUE,IF(F66&lt;&gt;"","Fundador",""),IF(G66&lt;&gt;"","Anjo",""),IF(H66&lt;&gt;"","VC",""),IF(I66&lt;&gt;"","Gestão",""),IF(J66&lt;&gt;"","Conselho",""),IF(K66&lt;&gt;"","Buscapé","")))</f>
        <v/>
      </c>
      <c r="N66" t="inlineStr"/>
      <c r="O66" s="5" t="inlineStr">
        <is>
          <t>2011</t>
        </is>
      </c>
      <c r="P66" t="inlineStr"/>
      <c r="Q66" t="inlineStr"/>
      <c r="R66" t="inlineStr">
        <is>
          <t>https://www.crunchbase.com/organization/meucarrinho</t>
        </is>
      </c>
      <c r="S66" t="inlineStr">
        <is>
          <t>meucarrinho.png</t>
        </is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s="5" t="inlineStr">
        <is>
          <t>790</t>
        </is>
      </c>
      <c r="B67" s="5" t="inlineStr">
        <is>
          <t>x</t>
        </is>
      </c>
      <c r="C67" s="5" t="inlineStr"/>
      <c r="D67" t="inlineStr">
        <is>
          <t>Moda It</t>
        </is>
      </c>
      <c r="E67" t="inlineStr"/>
      <c r="F67" s="5" t="inlineStr"/>
      <c r="G67" s="5" t="inlineStr"/>
      <c r="H67" s="5" t="inlineStr"/>
      <c r="I67" s="5" t="inlineStr"/>
      <c r="J67" s="5" t="inlineStr"/>
      <c r="K67" s="5" t="inlineStr">
        <is>
          <t>x</t>
        </is>
      </c>
      <c r="L67" t="inlineStr"/>
      <c r="M67" s="6">
        <f>IF(L67&lt;&gt;"",L67,_xlfn.TEXTJOIN(" · ",TRUE,IF(F67&lt;&gt;"","Fundador",""),IF(G67&lt;&gt;"","Anjo",""),IF(H67&lt;&gt;"","VC",""),IF(I67&lt;&gt;"","Gestão",""),IF(J67&lt;&gt;"","Conselho",""),IF(K67&lt;&gt;"","Buscapé","")))</f>
        <v/>
      </c>
      <c r="N67" t="inlineStr"/>
      <c r="O67" s="5" t="inlineStr">
        <is>
          <t>2011</t>
        </is>
      </c>
      <c r="P67" t="inlineStr"/>
      <c r="Q67" t="inlineStr">
        <is>
          <t>https://modait.com.br/</t>
        </is>
      </c>
      <c r="R67" t="inlineStr">
        <is>
          <t>https://www.crunchbase.com/organization/moda-it</t>
        </is>
      </c>
      <c r="S67" t="inlineStr">
        <is>
          <t>moda-it.png</t>
        </is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5" t="inlineStr">
        <is>
          <t>800</t>
        </is>
      </c>
      <c r="B68" s="5" t="inlineStr">
        <is>
          <t>x</t>
        </is>
      </c>
      <c r="C68" s="5" t="inlineStr"/>
      <c r="D68" t="inlineStr">
        <is>
          <t>Navegg</t>
        </is>
      </c>
      <c r="E68" t="inlineStr"/>
      <c r="F68" s="5" t="inlineStr"/>
      <c r="G68" s="5" t="inlineStr"/>
      <c r="H68" s="5" t="inlineStr"/>
      <c r="I68" s="5" t="inlineStr"/>
      <c r="J68" s="5" t="inlineStr"/>
      <c r="K68" s="5" t="inlineStr">
        <is>
          <t>x</t>
        </is>
      </c>
      <c r="L68" t="inlineStr"/>
      <c r="M68" s="6">
        <f>IF(L68&lt;&gt;"",L68,_xlfn.TEXTJOIN(" · ",TRUE,IF(F68&lt;&gt;"","Fundador",""),IF(G68&lt;&gt;"","Anjo",""),IF(H68&lt;&gt;"","VC",""),IF(I68&lt;&gt;"","Gestão",""),IF(J68&lt;&gt;"","Conselho",""),IF(K68&lt;&gt;"","Buscapé","")))</f>
        <v/>
      </c>
      <c r="N68" t="inlineStr"/>
      <c r="O68" s="5" t="inlineStr">
        <is>
          <t>2011</t>
        </is>
      </c>
      <c r="P68" t="inlineStr"/>
      <c r="Q68" t="inlineStr">
        <is>
          <t>https://www.navegg.com/br</t>
        </is>
      </c>
      <c r="R68" t="inlineStr">
        <is>
          <t>https://www.crunchbase.com/organization/navegg</t>
        </is>
      </c>
      <c r="S68" t="inlineStr">
        <is>
          <t>navegg.png</t>
        </is>
      </c>
      <c r="T68" t="inlineStr"/>
      <c r="U68" t="inlineStr"/>
      <c r="V68" t="inlineStr"/>
      <c r="W68" t="inlineStr"/>
      <c r="X68" t="inlineStr"/>
      <c r="Y68" t="inlineStr"/>
      <c r="Z68" t="inlineStr"/>
    </row>
    <row r="69">
      <c r="A69" s="5" t="inlineStr">
        <is>
          <t>810</t>
        </is>
      </c>
      <c r="B69" s="5" t="inlineStr">
        <is>
          <t>x</t>
        </is>
      </c>
      <c r="C69" s="5" t="inlineStr"/>
      <c r="D69" t="inlineStr">
        <is>
          <t>Recomind.net</t>
        </is>
      </c>
      <c r="E69" t="inlineStr"/>
      <c r="F69" s="5" t="inlineStr"/>
      <c r="G69" s="5" t="inlineStr"/>
      <c r="H69" s="5" t="inlineStr"/>
      <c r="I69" s="5" t="inlineStr"/>
      <c r="J69" s="5" t="inlineStr"/>
      <c r="K69" s="5" t="inlineStr">
        <is>
          <t>x</t>
        </is>
      </c>
      <c r="L69" t="inlineStr"/>
      <c r="M69" s="6">
        <f>IF(L69&lt;&gt;"",L69,_xlfn.TEXTJOIN(" · ",TRUE,IF(F69&lt;&gt;"","Fundador",""),IF(G69&lt;&gt;"","Anjo",""),IF(H69&lt;&gt;"","VC",""),IF(I69&lt;&gt;"","Gestão",""),IF(J69&lt;&gt;"","Conselho",""),IF(K69&lt;&gt;"","Buscapé","")))</f>
        <v/>
      </c>
      <c r="N69" t="inlineStr"/>
      <c r="O69" s="5" t="inlineStr">
        <is>
          <t>2011</t>
        </is>
      </c>
      <c r="P69" t="inlineStr"/>
      <c r="Q69" t="inlineStr"/>
      <c r="R69" t="inlineStr">
        <is>
          <t>https://www.crunchbase.com/organization/recomind-net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5" t="inlineStr">
        <is>
          <t>820</t>
        </is>
      </c>
      <c r="B70" s="5" t="inlineStr">
        <is>
          <t>x</t>
        </is>
      </c>
      <c r="C70" s="5" t="inlineStr"/>
      <c r="D70" t="inlineStr">
        <is>
          <t>Urbanizo</t>
        </is>
      </c>
      <c r="E70" t="inlineStr"/>
      <c r="F70" s="5" t="inlineStr"/>
      <c r="G70" s="5" t="inlineStr"/>
      <c r="H70" s="5" t="inlineStr"/>
      <c r="I70" s="5" t="inlineStr"/>
      <c r="J70" s="5" t="inlineStr"/>
      <c r="K70" s="5" t="inlineStr">
        <is>
          <t>x</t>
        </is>
      </c>
      <c r="L70" t="inlineStr"/>
      <c r="M70" s="6">
        <f>IF(L70&lt;&gt;"",L70,_xlfn.TEXTJOIN(" · ",TRUE,IF(F70&lt;&gt;"","Fundador",""),IF(G70&lt;&gt;"","Anjo",""),IF(H70&lt;&gt;"","VC",""),IF(I70&lt;&gt;"","Gestão",""),IF(J70&lt;&gt;"","Conselho",""),IF(K70&lt;&gt;"","Buscapé","")))</f>
        <v/>
      </c>
      <c r="N70" t="inlineStr"/>
      <c r="O70" s="5" t="inlineStr">
        <is>
          <t>2011</t>
        </is>
      </c>
      <c r="P70" t="inlineStr"/>
      <c r="Q70" t="inlineStr"/>
      <c r="R70" t="inlineStr">
        <is>
          <t>https://www.crunchbase.com/organization/urbanizo</t>
        </is>
      </c>
      <c r="S70" t="inlineStr">
        <is>
          <t>urbanizo.png</t>
        </is>
      </c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5" t="inlineStr">
        <is>
          <t>830</t>
        </is>
      </c>
      <c r="B71" s="5" t="inlineStr">
        <is>
          <t>x</t>
        </is>
      </c>
      <c r="C71" s="5" t="inlineStr"/>
      <c r="D71" t="inlineStr">
        <is>
          <t>PagosOnline</t>
        </is>
      </c>
      <c r="E71" t="inlineStr"/>
      <c r="F71" s="5" t="inlineStr"/>
      <c r="G71" s="5" t="inlineStr"/>
      <c r="H71" s="5" t="inlineStr"/>
      <c r="I71" s="5" t="inlineStr"/>
      <c r="J71" s="5" t="inlineStr"/>
      <c r="K71" s="5" t="inlineStr">
        <is>
          <t>x</t>
        </is>
      </c>
      <c r="L71" t="inlineStr"/>
      <c r="M71" s="6">
        <f>IF(L71&lt;&gt;"",L71,_xlfn.TEXTJOIN(" · ",TRUE,IF(F71&lt;&gt;"","Fundador",""),IF(G71&lt;&gt;"","Anjo",""),IF(H71&lt;&gt;"","VC",""),IF(I71&lt;&gt;"","Gestão",""),IF(J71&lt;&gt;"","Conselho",""),IF(K71&lt;&gt;"","Buscapé","")))</f>
        <v/>
      </c>
      <c r="N71" t="inlineStr"/>
      <c r="O71" s="5" t="inlineStr">
        <is>
          <t>2010</t>
        </is>
      </c>
      <c r="P71" t="inlineStr"/>
      <c r="Q71" t="inlineStr"/>
      <c r="R71" t="inlineStr">
        <is>
          <t>https://www.crunchbase.com/organization/pagosonline</t>
        </is>
      </c>
      <c r="S71" t="inlineStr">
        <is>
          <t>pagosonline.png</t>
        </is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s="5" t="inlineStr">
        <is>
          <t>840</t>
        </is>
      </c>
      <c r="B72" s="5" t="inlineStr">
        <is>
          <t>x</t>
        </is>
      </c>
      <c r="C72" s="5" t="inlineStr"/>
      <c r="D72" t="inlineStr">
        <is>
          <t>SaveMe</t>
        </is>
      </c>
      <c r="E72" t="inlineStr"/>
      <c r="F72" s="5" t="inlineStr"/>
      <c r="G72" s="5" t="inlineStr"/>
      <c r="H72" s="5" t="inlineStr"/>
      <c r="I72" s="5" t="inlineStr"/>
      <c r="J72" s="5" t="inlineStr"/>
      <c r="K72" s="5" t="inlineStr">
        <is>
          <t>x</t>
        </is>
      </c>
      <c r="L72" t="inlineStr"/>
      <c r="M72" s="6">
        <f>IF(L72&lt;&gt;"",L72,_xlfn.TEXTJOIN(" · ",TRUE,IF(F72&lt;&gt;"","Fundador",""),IF(G72&lt;&gt;"","Anjo",""),IF(H72&lt;&gt;"","VC",""),IF(I72&lt;&gt;"","Gestão",""),IF(J72&lt;&gt;"","Conselho",""),IF(K72&lt;&gt;"","Buscapé","")))</f>
        <v/>
      </c>
      <c r="N72" t="inlineStr"/>
      <c r="O72" s="5" t="inlineStr">
        <is>
          <t>2010</t>
        </is>
      </c>
      <c r="P72" t="inlineStr"/>
      <c r="Q72" t="inlineStr"/>
      <c r="R72" t="inlineStr">
        <is>
          <t>https://www.crunchbase.com/organization/saveme</t>
        </is>
      </c>
      <c r="S72" t="inlineStr">
        <is>
          <t>saveme-2026.png</t>
        </is>
      </c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5" t="inlineStr">
        <is>
          <t>850</t>
        </is>
      </c>
      <c r="B73" s="5" t="inlineStr">
        <is>
          <t>x</t>
        </is>
      </c>
      <c r="C73" s="5" t="inlineStr"/>
      <c r="D73" t="inlineStr">
        <is>
          <t>eBehavior</t>
        </is>
      </c>
      <c r="E73" t="inlineStr"/>
      <c r="F73" s="5" t="inlineStr"/>
      <c r="G73" s="5" t="inlineStr"/>
      <c r="H73" s="5" t="inlineStr"/>
      <c r="I73" s="5" t="inlineStr"/>
      <c r="J73" s="5" t="inlineStr"/>
      <c r="K73" s="5" t="inlineStr">
        <is>
          <t>x</t>
        </is>
      </c>
      <c r="L73" t="inlineStr"/>
      <c r="M73" s="6">
        <f>IF(L73&lt;&gt;"",L73,_xlfn.TEXTJOIN(" · ",TRUE,IF(F73&lt;&gt;"","Fundador",""),IF(G73&lt;&gt;"","Anjo",""),IF(H73&lt;&gt;"","VC",""),IF(I73&lt;&gt;"","Gestão",""),IF(J73&lt;&gt;"","Conselho",""),IF(K73&lt;&gt;"","Buscapé","")))</f>
        <v/>
      </c>
      <c r="N73" t="inlineStr"/>
      <c r="O73" s="5" t="inlineStr">
        <is>
          <t>2010</t>
        </is>
      </c>
      <c r="P73" t="inlineStr"/>
      <c r="Q73" t="inlineStr"/>
      <c r="R73" t="inlineStr">
        <is>
          <t>https://www.crunchbase.com/organization/ebehavior-b888</t>
        </is>
      </c>
      <c r="S73" t="inlineStr">
        <is>
          <t>ebehavior.png</t>
        </is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5" t="inlineStr">
        <is>
          <t>860</t>
        </is>
      </c>
      <c r="B74" s="5" t="inlineStr">
        <is>
          <t>x</t>
        </is>
      </c>
      <c r="C74" s="5" t="inlineStr"/>
      <c r="D74" t="inlineStr">
        <is>
          <t>Lomadee</t>
        </is>
      </c>
      <c r="E74" t="inlineStr"/>
      <c r="F74" s="5" t="inlineStr"/>
      <c r="G74" s="5" t="inlineStr"/>
      <c r="H74" s="5" t="inlineStr"/>
      <c r="I74" s="5" t="inlineStr"/>
      <c r="J74" s="5" t="inlineStr"/>
      <c r="K74" s="5" t="inlineStr">
        <is>
          <t>x</t>
        </is>
      </c>
      <c r="L74" t="inlineStr"/>
      <c r="M74" s="6">
        <f>IF(L74&lt;&gt;"",L74,_xlfn.TEXTJOIN(" · ",TRUE,IF(F74&lt;&gt;"","Fundador",""),IF(G74&lt;&gt;"","Anjo",""),IF(H74&lt;&gt;"","VC",""),IF(I74&lt;&gt;"","Gestão",""),IF(J74&lt;&gt;"","Conselho",""),IF(K74&lt;&gt;"","Buscapé","")))</f>
        <v/>
      </c>
      <c r="N74" t="inlineStr"/>
      <c r="O74" s="5" t="inlineStr">
        <is>
          <t>2009</t>
        </is>
      </c>
      <c r="P74" t="inlineStr"/>
      <c r="Q74" t="inlineStr"/>
      <c r="R74" t="inlineStr">
        <is>
          <t>https://www.crunchbase.com/organization/lomadee</t>
        </is>
      </c>
      <c r="S74" t="inlineStr">
        <is>
          <t>lomadee.png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s="5" t="inlineStr">
        <is>
          <t>870</t>
        </is>
      </c>
      <c r="B75" s="5" t="inlineStr">
        <is>
          <t>x</t>
        </is>
      </c>
      <c r="C75" s="5" t="inlineStr"/>
      <c r="D75" t="inlineStr">
        <is>
          <t>Bcash / Pagamento Digital</t>
        </is>
      </c>
      <c r="E75" t="inlineStr">
        <is>
          <t>Bcash</t>
        </is>
      </c>
      <c r="F75" s="5" t="inlineStr"/>
      <c r="G75" s="5" t="inlineStr"/>
      <c r="H75" s="5" t="inlineStr"/>
      <c r="I75" s="5" t="inlineStr"/>
      <c r="J75" s="5" t="inlineStr"/>
      <c r="K75" s="5" t="inlineStr">
        <is>
          <t>x</t>
        </is>
      </c>
      <c r="L75" t="inlineStr"/>
      <c r="M75" s="6">
        <f>IF(L75&lt;&gt;"",L75,_xlfn.TEXTJOIN(" · ",TRUE,IF(F75&lt;&gt;"","Fundador",""),IF(G75&lt;&gt;"","Anjo",""),IF(H75&lt;&gt;"","VC",""),IF(I75&lt;&gt;"","Gestão",""),IF(J75&lt;&gt;"","Conselho",""),IF(K75&lt;&gt;"","Buscapé","")))</f>
        <v/>
      </c>
      <c r="N75" t="inlineStr"/>
      <c r="O75" s="5" t="inlineStr">
        <is>
          <t>2008</t>
        </is>
      </c>
      <c r="P75" t="inlineStr"/>
      <c r="Q75" t="inlineStr"/>
      <c r="R75" t="inlineStr">
        <is>
          <t>https://www.crunchbase.com/organization/pagamento-digital</t>
        </is>
      </c>
      <c r="S75" t="inlineStr">
        <is>
          <t>pagamento-digital.png</t>
        </is>
      </c>
      <c r="T75" t="inlineStr"/>
      <c r="U75" t="inlineStr">
        <is>
          <t>Bcash</t>
        </is>
      </c>
      <c r="V75" t="inlineStr">
        <is>
          <t>Pagamento Digital</t>
        </is>
      </c>
      <c r="W75" t="inlineStr"/>
      <c r="X75" t="inlineStr"/>
      <c r="Y75" t="inlineStr"/>
      <c r="Z75" t="inlineStr"/>
    </row>
    <row r="76">
      <c r="A76" s="5" t="inlineStr">
        <is>
          <t>880</t>
        </is>
      </c>
      <c r="B76" s="5" t="inlineStr">
        <is>
          <t>x</t>
        </is>
      </c>
      <c r="C76" s="5" t="inlineStr"/>
      <c r="D76" t="inlineStr">
        <is>
          <t>FControl</t>
        </is>
      </c>
      <c r="E76" t="inlineStr"/>
      <c r="F76" s="5" t="inlineStr"/>
      <c r="G76" s="5" t="inlineStr"/>
      <c r="H76" s="5" t="inlineStr"/>
      <c r="I76" s="5" t="inlineStr"/>
      <c r="J76" s="5" t="inlineStr"/>
      <c r="K76" s="5" t="inlineStr">
        <is>
          <t>x</t>
        </is>
      </c>
      <c r="L76" t="inlineStr"/>
      <c r="M76" s="6">
        <f>IF(L76&lt;&gt;"",L76,_xlfn.TEXTJOIN(" · ",TRUE,IF(F76&lt;&gt;"","Fundador",""),IF(G76&lt;&gt;"","Anjo",""),IF(H76&lt;&gt;"","VC",""),IF(I76&lt;&gt;"","Gestão",""),IF(J76&lt;&gt;"","Conselho",""),IF(K76&lt;&gt;"","Buscapé","")))</f>
        <v/>
      </c>
      <c r="N76" t="inlineStr"/>
      <c r="O76" s="5" t="inlineStr">
        <is>
          <t>2008</t>
        </is>
      </c>
      <c r="P76" t="inlineStr"/>
      <c r="Q76" t="inlineStr"/>
      <c r="R76" t="inlineStr">
        <is>
          <t>https://www.crunchbase.com/organization/f-control</t>
        </is>
      </c>
      <c r="S76" t="inlineStr">
        <is>
          <t>fcontrol.png</t>
        </is>
      </c>
      <c r="T76" t="inlineStr"/>
      <c r="U76" t="inlineStr"/>
      <c r="V76" t="inlineStr"/>
      <c r="W76" t="inlineStr"/>
      <c r="X76" t="inlineStr"/>
      <c r="Y76" t="inlineStr"/>
      <c r="Z76" t="inlineStr"/>
    </row>
    <row r="77">
      <c r="A77" s="5" t="inlineStr">
        <is>
          <t>890</t>
        </is>
      </c>
      <c r="B77" s="5" t="inlineStr">
        <is>
          <t>x</t>
        </is>
      </c>
      <c r="C77" s="5" t="inlineStr"/>
      <c r="D77" t="inlineStr">
        <is>
          <t>E-bit</t>
        </is>
      </c>
      <c r="E77" t="inlineStr"/>
      <c r="F77" s="5" t="inlineStr"/>
      <c r="G77" s="5" t="inlineStr"/>
      <c r="H77" s="5" t="inlineStr"/>
      <c r="I77" s="5" t="inlineStr"/>
      <c r="J77" s="5" t="inlineStr"/>
      <c r="K77" s="5" t="inlineStr">
        <is>
          <t>x</t>
        </is>
      </c>
      <c r="L77" t="inlineStr"/>
      <c r="M77" s="6">
        <f>IF(L77&lt;&gt;"",L77,_xlfn.TEXTJOIN(" · ",TRUE,IF(F77&lt;&gt;"","Fundador",""),IF(G77&lt;&gt;"","Anjo",""),IF(H77&lt;&gt;"","VC",""),IF(I77&lt;&gt;"","Gestão",""),IF(J77&lt;&gt;"","Conselho",""),IF(K77&lt;&gt;"","Buscapé","")))</f>
        <v/>
      </c>
      <c r="N77" t="inlineStr"/>
      <c r="O77" s="5" t="inlineStr">
        <is>
          <t>2007</t>
        </is>
      </c>
      <c r="P77" t="inlineStr"/>
      <c r="Q77" t="inlineStr"/>
      <c r="R77" t="inlineStr">
        <is>
          <t>https://www.crunchbase.com/organization/e-bit</t>
        </is>
      </c>
      <c r="S77" t="inlineStr">
        <is>
          <t>e-bit.png</t>
        </is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s="5" t="inlineStr">
        <is>
          <t>900</t>
        </is>
      </c>
      <c r="B78" s="5" t="inlineStr">
        <is>
          <t>x</t>
        </is>
      </c>
      <c r="C78" s="5" t="inlineStr"/>
      <c r="D78" t="inlineStr">
        <is>
          <t>Bondfaro</t>
        </is>
      </c>
      <c r="E78" t="inlineStr"/>
      <c r="F78" s="5" t="inlineStr"/>
      <c r="G78" s="5" t="inlineStr"/>
      <c r="H78" s="5" t="inlineStr"/>
      <c r="I78" s="5" t="inlineStr"/>
      <c r="J78" s="5" t="inlineStr"/>
      <c r="K78" s="5" t="inlineStr">
        <is>
          <t>x</t>
        </is>
      </c>
      <c r="L78" t="inlineStr"/>
      <c r="M78" s="6">
        <f>IF(L78&lt;&gt;"",L78,_xlfn.TEXTJOIN(" · ",TRUE,IF(F78&lt;&gt;"","Fundador",""),IF(G78&lt;&gt;"","Anjo",""),IF(H78&lt;&gt;"","VC",""),IF(I78&lt;&gt;"","Gestão",""),IF(J78&lt;&gt;"","Conselho",""),IF(K78&lt;&gt;"","Buscapé","")))</f>
        <v/>
      </c>
      <c r="N78" t="inlineStr"/>
      <c r="O78" s="5" t="inlineStr">
        <is>
          <t>2006</t>
        </is>
      </c>
      <c r="P78" t="inlineStr"/>
      <c r="Q78" t="inlineStr">
        <is>
          <t>https://www.bondfaro.com.br/</t>
        </is>
      </c>
      <c r="R78" t="inlineStr">
        <is>
          <t>https://www.crunchbase.com/organization/bondfaro</t>
        </is>
      </c>
      <c r="S78" t="inlineStr">
        <is>
          <t>bondfaro-2026.png</t>
        </is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s="5" t="inlineStr">
        <is>
          <t>910</t>
        </is>
      </c>
      <c r="B79" s="5" t="inlineStr">
        <is>
          <t>x</t>
        </is>
      </c>
      <c r="C79" s="5" t="inlineStr"/>
      <c r="D79" t="inlineStr">
        <is>
          <t>CortaContas</t>
        </is>
      </c>
      <c r="E79" t="inlineStr"/>
      <c r="F79" s="5" t="inlineStr"/>
      <c r="G79" s="5" t="inlineStr"/>
      <c r="H79" s="5" t="inlineStr"/>
      <c r="I79" s="5" t="inlineStr"/>
      <c r="J79" s="5" t="inlineStr"/>
      <c r="K79" s="5" t="inlineStr">
        <is>
          <t>x</t>
        </is>
      </c>
      <c r="L79" t="inlineStr"/>
      <c r="M79" s="6">
        <f>IF(L79&lt;&gt;"",L79,_xlfn.TEXTJOIN(" · ",TRUE,IF(F79&lt;&gt;"","Fundador",""),IF(G79&lt;&gt;"","Anjo",""),IF(H79&lt;&gt;"","VC",""),IF(I79&lt;&gt;"","Gestão",""),IF(J79&lt;&gt;"","Conselho",""),IF(K79&lt;&gt;"","Buscapé","")))</f>
        <v/>
      </c>
      <c r="N79" t="inlineStr"/>
      <c r="O79" s="5" t="inlineStr">
        <is>
          <t>2006</t>
        </is>
      </c>
      <c r="P79" t="inlineStr"/>
      <c r="Q79" t="inlineStr"/>
      <c r="R79" t="inlineStr">
        <is>
          <t>https://www.crunchbase.com/organization/cortacontas</t>
        </is>
      </c>
      <c r="S79" t="inlineStr">
        <is>
          <t>cortacontas.png</t>
        </is>
      </c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5" t="inlineStr">
        <is>
          <t>920</t>
        </is>
      </c>
      <c r="B80" s="5" t="inlineStr">
        <is>
          <t>x</t>
        </is>
      </c>
      <c r="C80" s="5" t="inlineStr"/>
      <c r="D80" t="inlineStr">
        <is>
          <t>QueBarato!</t>
        </is>
      </c>
      <c r="E80" t="inlineStr"/>
      <c r="F80" s="5" t="inlineStr"/>
      <c r="G80" s="5" t="inlineStr"/>
      <c r="H80" s="5" t="inlineStr"/>
      <c r="I80" s="5" t="inlineStr"/>
      <c r="J80" s="5" t="inlineStr"/>
      <c r="K80" s="5" t="inlineStr">
        <is>
          <t>x</t>
        </is>
      </c>
      <c r="L80" t="inlineStr"/>
      <c r="M80" s="6">
        <f>IF(L80&lt;&gt;"",L80,_xlfn.TEXTJOIN(" · ",TRUE,IF(F80&lt;&gt;"","Fundador",""),IF(G80&lt;&gt;"","Anjo",""),IF(H80&lt;&gt;"","VC",""),IF(I80&lt;&gt;"","Gestão",""),IF(J80&lt;&gt;"","Conselho",""),IF(K80&lt;&gt;"","Buscapé","")))</f>
        <v/>
      </c>
      <c r="N80" t="inlineStr"/>
      <c r="O80" s="5" t="inlineStr">
        <is>
          <t>2006</t>
        </is>
      </c>
      <c r="P80" t="inlineStr"/>
      <c r="Q80" t="inlineStr">
        <is>
          <t>https://www.quebarato.com.br/</t>
        </is>
      </c>
      <c r="R80" t="inlineStr">
        <is>
          <t>https://www.crunchbase.com/organization/quebarato</t>
        </is>
      </c>
      <c r="S80" t="inlineStr">
        <is>
          <t>quebarato.png</t>
        </is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5" t="inlineStr">
        <is>
          <t>930</t>
        </is>
      </c>
      <c r="B81" s="5" t="inlineStr">
        <is>
          <t>x</t>
        </is>
      </c>
      <c r="C81" s="5" t="inlineStr"/>
      <c r="D81" t="inlineStr">
        <is>
          <t>All in</t>
        </is>
      </c>
      <c r="E81" t="inlineStr"/>
      <c r="F81" s="5" t="inlineStr"/>
      <c r="G81" s="5" t="inlineStr">
        <is>
          <t>x</t>
        </is>
      </c>
      <c r="H81" s="5" t="inlineStr"/>
      <c r="I81" s="5" t="inlineStr"/>
      <c r="J81" s="5" t="inlineStr"/>
      <c r="K81" s="5" t="inlineStr"/>
      <c r="L81" t="inlineStr"/>
      <c r="M81" s="6">
        <f>IF(L81&lt;&gt;"",L81,_xlfn.TEXTJOIN(" · ",TRUE,IF(F81&lt;&gt;"","Fundador",""),IF(G81&lt;&gt;"","Anjo",""),IF(H81&lt;&gt;"","VC",""),IF(I81&lt;&gt;"","Gestão",""),IF(J81&lt;&gt;"","Conselho",""),IF(K81&lt;&gt;"","Buscapé","")))</f>
        <v/>
      </c>
      <c r="N81" t="inlineStr"/>
      <c r="O81" s="5" t="inlineStr">
        <is>
          <t>2004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5" t="inlineStr">
        <is>
          <t>960</t>
        </is>
      </c>
      <c r="B82" s="5" t="inlineStr">
        <is>
          <t>x</t>
        </is>
      </c>
      <c r="C82" s="5" t="inlineStr"/>
      <c r="D82" t="inlineStr">
        <is>
          <t>Mídia Digital / Mirum</t>
        </is>
      </c>
      <c r="E82" t="inlineStr"/>
      <c r="F82" s="5" t="inlineStr"/>
      <c r="G82" s="5" t="inlineStr">
        <is>
          <t>x</t>
        </is>
      </c>
      <c r="H82" s="5" t="inlineStr"/>
      <c r="I82" s="5" t="inlineStr"/>
      <c r="J82" s="5" t="inlineStr"/>
      <c r="K82" s="5" t="inlineStr"/>
      <c r="L82" t="inlineStr"/>
      <c r="M82" s="6">
        <f>IF(L82&lt;&gt;"",L82,_xlfn.TEXTJOIN(" · ",TRUE,IF(F82&lt;&gt;"","Fundador",""),IF(G82&lt;&gt;"","Anjo",""),IF(H82&lt;&gt;"","VC",""),IF(I82&lt;&gt;"","Gestão",""),IF(J82&lt;&gt;"","Conselho",""),IF(K82&lt;&gt;"","Buscapé","")))</f>
        <v/>
      </c>
      <c r="N82" t="inlineStr"/>
      <c r="O82" s="5" t="inlineStr">
        <is>
          <t>2004</t>
        </is>
      </c>
      <c r="P82" t="inlineStr"/>
      <c r="Q82" t="inlineStr"/>
      <c r="R82" t="inlineStr">
        <is>
          <t>https://www.crunchbase.com/organization/mirum-agency; https://www.crunchbase.com/organization/m%C3%ADdia-digital</t>
        </is>
      </c>
      <c r="S82" t="inlineStr">
        <is>
          <t>mirum.png</t>
        </is>
      </c>
      <c r="T82" t="inlineStr"/>
      <c r="U82" t="inlineStr"/>
      <c r="V82" t="inlineStr"/>
      <c r="W82" t="inlineStr"/>
      <c r="X82" t="inlineStr"/>
      <c r="Y82" t="inlineStr"/>
      <c r="Z82" t="inlineStr"/>
    </row>
    <row r="83">
      <c r="A83" s="5" t="inlineStr">
        <is>
          <t>980</t>
        </is>
      </c>
      <c r="B83" s="5" t="inlineStr">
        <is>
          <t>x</t>
        </is>
      </c>
      <c r="C83" s="5" t="inlineStr"/>
      <c r="D83" t="inlineStr">
        <is>
          <t>i-Equities</t>
        </is>
      </c>
      <c r="E83" t="inlineStr"/>
      <c r="F83" s="5" t="inlineStr"/>
      <c r="G83" s="5" t="inlineStr"/>
      <c r="H83" s="5" t="inlineStr"/>
      <c r="I83" s="5" t="inlineStr">
        <is>
          <t>x</t>
        </is>
      </c>
      <c r="J83" s="5" t="inlineStr"/>
      <c r="K83" s="5" t="inlineStr"/>
      <c r="L83" t="inlineStr">
        <is>
          <t>Holding</t>
        </is>
      </c>
      <c r="M83" s="6">
        <f>IF(L83&lt;&gt;"",L83,_xlfn.TEXTJOIN(" · ",TRUE,IF(F83&lt;&gt;"","Fundador",""),IF(G83&lt;&gt;"","Anjo",""),IF(H83&lt;&gt;"","VC",""),IF(I83&lt;&gt;"","Gestão",""),IF(J83&lt;&gt;"","Conselho",""),IF(K83&lt;&gt;"","Buscapé","")))</f>
        <v/>
      </c>
      <c r="N83" t="inlineStr"/>
      <c r="O83" s="5" t="inlineStr">
        <is>
          <t>2004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5" t="inlineStr">
        <is>
          <t>1000</t>
        </is>
      </c>
      <c r="B84" s="5" t="inlineStr">
        <is>
          <t>x</t>
        </is>
      </c>
      <c r="C84" s="5" t="inlineStr"/>
      <c r="D84" t="inlineStr">
        <is>
          <t>AWL Leads</t>
        </is>
      </c>
      <c r="E84" t="inlineStr"/>
      <c r="F84" s="5" t="inlineStr"/>
      <c r="G84" s="5" t="inlineStr">
        <is>
          <t>x</t>
        </is>
      </c>
      <c r="H84" s="5" t="inlineStr"/>
      <c r="I84" s="5" t="inlineStr"/>
      <c r="J84" s="5" t="inlineStr"/>
      <c r="K84" s="5" t="inlineStr"/>
      <c r="L84" t="inlineStr"/>
      <c r="M84" s="6">
        <f>IF(L84&lt;&gt;"",L84,_xlfn.TEXTJOIN(" · ",TRUE,IF(F84&lt;&gt;"","Fundador",""),IF(G84&lt;&gt;"","Anjo",""),IF(H84&lt;&gt;"","VC",""),IF(I84&lt;&gt;"","Gestão",""),IF(J84&lt;&gt;"","Conselho",""),IF(K84&lt;&gt;"","Buscapé","")))</f>
        <v/>
      </c>
      <c r="N84" t="inlineStr"/>
      <c r="O84" s="5" t="inlineStr"/>
      <c r="P84" t="inlineStr"/>
      <c r="Q84" t="inlineStr"/>
      <c r="R84" t="inlineStr">
        <is>
          <t>https://www.crunchbase.com/organization/awl-fee7</t>
        </is>
      </c>
      <c r="S84" t="inlineStr">
        <is>
          <t>awl-leads.png</t>
        </is>
      </c>
      <c r="T84" t="inlineStr"/>
      <c r="U84" t="inlineStr"/>
      <c r="V84" t="inlineStr"/>
      <c r="W84" t="inlineStr"/>
      <c r="X84" t="inlineStr"/>
      <c r="Y84" t="inlineStr"/>
      <c r="Z84" t="inlineStr"/>
    </row>
    <row r="85">
      <c r="A85" s="5" t="inlineStr">
        <is>
          <t>1005</t>
        </is>
      </c>
      <c r="B85" s="5" t="inlineStr">
        <is>
          <t>x</t>
        </is>
      </c>
      <c r="C85" s="5" t="inlineStr"/>
      <c r="D85" t="inlineStr">
        <is>
          <t>Biosphera (B&amp;Partners)</t>
        </is>
      </c>
      <c r="E85" t="inlineStr"/>
      <c r="F85" s="5" t="inlineStr"/>
      <c r="G85" s="5" t="inlineStr">
        <is>
          <t>x</t>
        </is>
      </c>
      <c r="H85" s="5" t="inlineStr"/>
      <c r="I85" s="5" t="inlineStr"/>
      <c r="J85" s="5" t="inlineStr"/>
      <c r="K85" s="5" t="inlineStr"/>
      <c r="L85" t="inlineStr"/>
      <c r="M85" s="6">
        <f>IF(L85&lt;&gt;"",L85,_xlfn.TEXTJOIN(" · ",TRUE,IF(F85&lt;&gt;"","Fundador",""),IF(G85&lt;&gt;"","Anjo",""),IF(H85&lt;&gt;"","VC",""),IF(I85&lt;&gt;"","Gestão",""),IF(J85&lt;&gt;"","Conselho",""),IF(K85&lt;&gt;"","Buscapé","")))</f>
        <v/>
      </c>
      <c r="N85" t="inlineStr"/>
      <c r="O85" s="5" t="inlineStr"/>
      <c r="P85" t="inlineStr">
        <is>
          <t>Ativa</t>
        </is>
      </c>
      <c r="Q85" t="inlineStr"/>
      <c r="R85" t="inlineStr">
        <is>
          <t>https://www.crunchbase.com/organization/b-partners-6cab</t>
        </is>
      </c>
      <c r="S85" t="inlineStr">
        <is>
          <t>biosphera.png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Anjo. Site: bpartners.com.br fora do ar em 28/09/2026; biosphera.io é domínio estacionado.</t>
        </is>
      </c>
    </row>
    <row r="86">
      <c r="A86" s="5" t="inlineStr">
        <is>
          <t>1010</t>
        </is>
      </c>
      <c r="B86" s="5" t="inlineStr">
        <is>
          <t>x</t>
        </is>
      </c>
      <c r="C86" s="5" t="inlineStr"/>
      <c r="D86" t="inlineStr">
        <is>
          <t>BovControl</t>
        </is>
      </c>
      <c r="E86" t="inlineStr"/>
      <c r="F86" s="5" t="inlineStr"/>
      <c r="G86" s="5" t="inlineStr">
        <is>
          <t>x</t>
        </is>
      </c>
      <c r="H86" s="5" t="inlineStr"/>
      <c r="I86" s="5" t="inlineStr"/>
      <c r="J86" s="5" t="inlineStr"/>
      <c r="K86" s="5" t="inlineStr"/>
      <c r="L86" t="inlineStr"/>
      <c r="M86" s="6">
        <f>IF(L86&lt;&gt;"",L86,_xlfn.TEXTJOIN(" · ",TRUE,IF(F86&lt;&gt;"","Fundador",""),IF(G86&lt;&gt;"","Anjo",""),IF(H86&lt;&gt;"","VC",""),IF(I86&lt;&gt;"","Gestão",""),IF(J86&lt;&gt;"","Conselho",""),IF(K86&lt;&gt;"","Buscapé","")))</f>
        <v/>
      </c>
      <c r="N86" t="inlineStr"/>
      <c r="O86" s="5" t="inlineStr"/>
      <c r="P86" t="inlineStr"/>
      <c r="Q86" t="inlineStr">
        <is>
          <t>https://bovplatform.com/about</t>
        </is>
      </c>
      <c r="R86" t="inlineStr">
        <is>
          <t>https://www.crunchbase.com/organization/bovcontrol</t>
        </is>
      </c>
      <c r="S86" t="inlineStr">
        <is>
          <t>bovcontrol.png</t>
        </is>
      </c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5" t="inlineStr">
        <is>
          <t>1020</t>
        </is>
      </c>
      <c r="B87" s="5" t="inlineStr">
        <is>
          <t>x</t>
        </is>
      </c>
      <c r="C87" s="5" t="inlineStr"/>
      <c r="D87" t="inlineStr">
        <is>
          <t>Canal da Peça</t>
        </is>
      </c>
      <c r="E87" t="inlineStr"/>
      <c r="F87" s="5" t="inlineStr"/>
      <c r="G87" s="5" t="inlineStr">
        <is>
          <t>x</t>
        </is>
      </c>
      <c r="H87" s="5" t="inlineStr"/>
      <c r="I87" s="5" t="inlineStr"/>
      <c r="J87" s="5" t="inlineStr"/>
      <c r="K87" s="5" t="inlineStr"/>
      <c r="L87" t="inlineStr"/>
      <c r="M87" s="6">
        <f>IF(L87&lt;&gt;"",L87,_xlfn.TEXTJOIN(" · ",TRUE,IF(F87&lt;&gt;"","Fundador",""),IF(G87&lt;&gt;"","Anjo",""),IF(H87&lt;&gt;"","VC",""),IF(I87&lt;&gt;"","Gestão",""),IF(J87&lt;&gt;"","Conselho",""),IF(K87&lt;&gt;"","Buscapé","")))</f>
        <v/>
      </c>
      <c r="N87" t="inlineStr"/>
      <c r="O87" s="5" t="inlineStr"/>
      <c r="P87" t="inlineStr"/>
      <c r="Q87" t="inlineStr">
        <is>
          <t>https://www.canaldapeca.com.br/</t>
        </is>
      </c>
      <c r="R87" t="inlineStr">
        <is>
          <t>https://www.crunchbase.com/organization/canal-da-pe%C3%A7a</t>
        </is>
      </c>
      <c r="S87" t="inlineStr">
        <is>
          <t>canal-da-peca.png</t>
        </is>
      </c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5" t="inlineStr">
        <is>
          <t>1030</t>
        </is>
      </c>
      <c r="B88" s="5" t="inlineStr">
        <is>
          <t>x</t>
        </is>
      </c>
      <c r="C88" s="5" t="inlineStr"/>
      <c r="D88" t="inlineStr">
        <is>
          <t>Clicksign</t>
        </is>
      </c>
      <c r="E88" t="inlineStr"/>
      <c r="F88" s="5" t="inlineStr"/>
      <c r="G88" s="5" t="inlineStr">
        <is>
          <t>x</t>
        </is>
      </c>
      <c r="H88" s="5" t="inlineStr"/>
      <c r="I88" s="5" t="inlineStr"/>
      <c r="J88" s="5" t="inlineStr"/>
      <c r="K88" s="5" t="inlineStr"/>
      <c r="L88" t="inlineStr"/>
      <c r="M88" s="6">
        <f>IF(L88&lt;&gt;"",L88,_xlfn.TEXTJOIN(" · ",TRUE,IF(F88&lt;&gt;"","Fundador",""),IF(G88&lt;&gt;"","Anjo",""),IF(H88&lt;&gt;"","VC",""),IF(I88&lt;&gt;"","Gestão",""),IF(J88&lt;&gt;"","Conselho",""),IF(K88&lt;&gt;"","Buscapé","")))</f>
        <v/>
      </c>
      <c r="N88" t="inlineStr"/>
      <c r="O88" s="5" t="inlineStr"/>
      <c r="P88" t="inlineStr">
        <is>
          <t>Ativa</t>
        </is>
      </c>
      <c r="Q88" t="inlineStr">
        <is>
          <t>https://www.clicksign.com</t>
        </is>
      </c>
      <c r="R88" t="inlineStr">
        <is>
          <t>https://www.crunchbase.com/organization/clicksign</t>
        </is>
      </c>
      <c r="S88" t="inlineStr">
        <is>
          <t>clicksign.png</t>
        </is>
      </c>
      <c r="T88" t="inlineStr"/>
      <c r="U88" t="inlineStr"/>
      <c r="V88" t="inlineStr"/>
      <c r="W88" t="inlineStr"/>
      <c r="X88" t="inlineStr"/>
      <c r="Y88" t="inlineStr"/>
      <c r="Z88" t="inlineStr"/>
    </row>
    <row r="89">
      <c r="A89" s="5" t="inlineStr">
        <is>
          <t>1040</t>
        </is>
      </c>
      <c r="B89" s="5" t="inlineStr">
        <is>
          <t>x</t>
        </is>
      </c>
      <c r="C89" s="5" t="inlineStr"/>
      <c r="D89" t="inlineStr">
        <is>
          <t>DirectTalk</t>
        </is>
      </c>
      <c r="E89" t="inlineStr"/>
      <c r="F89" s="5" t="inlineStr"/>
      <c r="G89" s="5" t="inlineStr">
        <is>
          <t>x</t>
        </is>
      </c>
      <c r="H89" s="5" t="inlineStr"/>
      <c r="I89" s="5" t="inlineStr"/>
      <c r="J89" s="5" t="inlineStr"/>
      <c r="K89" s="5" t="inlineStr"/>
      <c r="L89" t="inlineStr"/>
      <c r="M89" s="6">
        <f>IF(L89&lt;&gt;"",L89,_xlfn.TEXTJOIN(" · ",TRUE,IF(F89&lt;&gt;"","Fundador",""),IF(G89&lt;&gt;"","Anjo",""),IF(H89&lt;&gt;"","VC",""),IF(I89&lt;&gt;"","Gestão",""),IF(J89&lt;&gt;"","Conselho",""),IF(K89&lt;&gt;"","Buscapé","")))</f>
        <v/>
      </c>
      <c r="N89" t="inlineStr"/>
      <c r="O89" s="5" t="inlineStr"/>
      <c r="P89" t="inlineStr">
        <is>
          <t>Ativa</t>
        </is>
      </c>
      <c r="Q89" t="inlineStr"/>
      <c r="R89" t="inlineStr">
        <is>
          <t>https://www.crunchbase.com/organization/hi-platform</t>
        </is>
      </c>
      <c r="S89" t="inlineStr">
        <is>
          <t>directtalk.png</t>
        </is>
      </c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5" t="inlineStr">
        <is>
          <t>1050</t>
        </is>
      </c>
      <c r="B90" s="5" t="inlineStr">
        <is>
          <t>x</t>
        </is>
      </c>
      <c r="C90" s="5" t="inlineStr"/>
      <c r="D90" t="inlineStr">
        <is>
          <t>Galena</t>
        </is>
      </c>
      <c r="E90" t="inlineStr"/>
      <c r="F90" s="5" t="inlineStr"/>
      <c r="G90" s="5" t="inlineStr">
        <is>
          <t>x</t>
        </is>
      </c>
      <c r="H90" s="5" t="inlineStr"/>
      <c r="I90" s="5" t="inlineStr"/>
      <c r="J90" s="5" t="inlineStr"/>
      <c r="K90" s="5" t="inlineStr"/>
      <c r="L90" t="inlineStr"/>
      <c r="M90" s="6">
        <f>IF(L90&lt;&gt;"",L90,_xlfn.TEXTJOIN(" · ",TRUE,IF(F90&lt;&gt;"","Fundador",""),IF(G90&lt;&gt;"","Anjo",""),IF(H90&lt;&gt;"","VC",""),IF(I90&lt;&gt;"","Gestão",""),IF(J90&lt;&gt;"","Conselho",""),IF(K90&lt;&gt;"","Buscapé","")))</f>
        <v/>
      </c>
      <c r="N90" t="inlineStr"/>
      <c r="O90" s="5" t="inlineStr"/>
      <c r="P90" t="inlineStr"/>
      <c r="Q90" t="inlineStr">
        <is>
          <t>https://www.galena.com</t>
        </is>
      </c>
      <c r="R90" t="inlineStr">
        <is>
          <t>https://www.crunchbase.com/organization/galena-c08c</t>
        </is>
      </c>
      <c r="S90" t="inlineStr">
        <is>
          <t>galena.png</t>
        </is>
      </c>
      <c r="T90" t="inlineStr"/>
      <c r="U90" t="inlineStr"/>
      <c r="V90" t="inlineStr"/>
      <c r="W90" t="inlineStr"/>
      <c r="X90" t="inlineStr"/>
      <c r="Y90" t="inlineStr"/>
      <c r="Z90" t="inlineStr"/>
    </row>
    <row r="91">
      <c r="A91" s="5" t="inlineStr">
        <is>
          <t>1060</t>
        </is>
      </c>
      <c r="B91" s="5" t="inlineStr">
        <is>
          <t>x</t>
        </is>
      </c>
      <c r="C91" s="5" t="inlineStr"/>
      <c r="D91" t="inlineStr">
        <is>
          <t>Grubster / ChefsClub</t>
        </is>
      </c>
      <c r="E91" t="inlineStr"/>
      <c r="F91" s="5" t="inlineStr"/>
      <c r="G91" s="5" t="inlineStr">
        <is>
          <t>x</t>
        </is>
      </c>
      <c r="H91" s="5" t="inlineStr"/>
      <c r="I91" s="5" t="inlineStr"/>
      <c r="J91" s="5" t="inlineStr"/>
      <c r="K91" s="5" t="inlineStr"/>
      <c r="L91" t="inlineStr"/>
      <c r="M91" s="6">
        <f>IF(L91&lt;&gt;"",L91,_xlfn.TEXTJOIN(" · ",TRUE,IF(F91&lt;&gt;"","Fundador",""),IF(G91&lt;&gt;"","Anjo",""),IF(H91&lt;&gt;"","VC",""),IF(I91&lt;&gt;"","Gestão",""),IF(J91&lt;&gt;"","Conselho",""),IF(K91&lt;&gt;"","Buscapé","")))</f>
        <v/>
      </c>
      <c r="N91" t="inlineStr"/>
      <c r="O91" s="5" t="inlineStr"/>
      <c r="P91" t="inlineStr"/>
      <c r="Q91" t="inlineStr"/>
      <c r="R91" t="inlineStr">
        <is>
          <t>https://www.crunchbase.com/organization/grubster</t>
        </is>
      </c>
      <c r="S91" t="inlineStr">
        <is>
          <t>chefsclub-grubster.png</t>
        </is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s="5" t="inlineStr">
        <is>
          <t>1070</t>
        </is>
      </c>
      <c r="B92" s="5" t="inlineStr">
        <is>
          <t>x</t>
        </is>
      </c>
      <c r="C92" s="5" t="inlineStr"/>
      <c r="D92" t="inlineStr">
        <is>
          <t>Humortadela</t>
        </is>
      </c>
      <c r="E92" t="inlineStr"/>
      <c r="F92" s="5" t="inlineStr"/>
      <c r="G92" s="5" t="inlineStr">
        <is>
          <t>x</t>
        </is>
      </c>
      <c r="H92" s="5" t="inlineStr"/>
      <c r="I92" s="5" t="inlineStr"/>
      <c r="J92" s="5" t="inlineStr"/>
      <c r="K92" s="5" t="inlineStr"/>
      <c r="L92" t="inlineStr"/>
      <c r="M92" s="6">
        <f>IF(L92&lt;&gt;"",L92,_xlfn.TEXTJOIN(" · ",TRUE,IF(F92&lt;&gt;"","Fundador",""),IF(G92&lt;&gt;"","Anjo",""),IF(H92&lt;&gt;"","VC",""),IF(I92&lt;&gt;"","Gestão",""),IF(J92&lt;&gt;"","Conselho",""),IF(K92&lt;&gt;"","Buscapé","")))</f>
        <v/>
      </c>
      <c r="N92" t="inlineStr"/>
      <c r="O92" s="5" t="inlineStr"/>
      <c r="P92" t="inlineStr"/>
      <c r="Q92" t="inlineStr"/>
      <c r="R92" t="inlineStr"/>
      <c r="S92" t="inlineStr">
        <is>
          <t>humortadela.png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5" t="inlineStr">
        <is>
          <t>1080</t>
        </is>
      </c>
      <c r="B93" s="5" t="inlineStr">
        <is>
          <t>x</t>
        </is>
      </c>
      <c r="C93" s="5" t="inlineStr"/>
      <c r="D93" t="inlineStr">
        <is>
          <t>Ingresse</t>
        </is>
      </c>
      <c r="E93" t="inlineStr"/>
      <c r="F93" s="5" t="inlineStr"/>
      <c r="G93" s="5" t="inlineStr">
        <is>
          <t>x</t>
        </is>
      </c>
      <c r="H93" s="5" t="inlineStr"/>
      <c r="I93" s="5" t="inlineStr"/>
      <c r="J93" s="5" t="inlineStr"/>
      <c r="K93" s="5" t="inlineStr"/>
      <c r="L93" t="inlineStr"/>
      <c r="M93" s="6">
        <f>IF(L93&lt;&gt;"",L93,_xlfn.TEXTJOIN(" · ",TRUE,IF(F93&lt;&gt;"","Fundador",""),IF(G93&lt;&gt;"","Anjo",""),IF(H93&lt;&gt;"","VC",""),IF(I93&lt;&gt;"","Gestão",""),IF(J93&lt;&gt;"","Conselho",""),IF(K93&lt;&gt;"","Buscapé","")))</f>
        <v/>
      </c>
      <c r="N93" t="inlineStr"/>
      <c r="O93" s="5" t="inlineStr"/>
      <c r="P93" t="inlineStr"/>
      <c r="Q93" t="inlineStr">
        <is>
          <t>https://ingresse.com/</t>
        </is>
      </c>
      <c r="R93" t="inlineStr">
        <is>
          <t>https://www.crunchbase.com/organization/ingresse</t>
        </is>
      </c>
      <c r="S93" t="inlineStr">
        <is>
          <t>ingresse.png</t>
        </is>
      </c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5" t="inlineStr">
        <is>
          <t>1090</t>
        </is>
      </c>
      <c r="B94" s="5" t="inlineStr">
        <is>
          <t>x</t>
        </is>
      </c>
      <c r="C94" s="5" t="inlineStr"/>
      <c r="D94" t="inlineStr">
        <is>
          <t>Lema21</t>
        </is>
      </c>
      <c r="E94" t="inlineStr"/>
      <c r="F94" s="5" t="inlineStr"/>
      <c r="G94" s="5" t="inlineStr">
        <is>
          <t>x</t>
        </is>
      </c>
      <c r="H94" s="5" t="inlineStr"/>
      <c r="I94" s="5" t="inlineStr"/>
      <c r="J94" s="5" t="inlineStr"/>
      <c r="K94" s="5" t="inlineStr"/>
      <c r="L94" t="inlineStr"/>
      <c r="M94" s="6">
        <f>IF(L94&lt;&gt;"",L94,_xlfn.TEXTJOIN(" · ",TRUE,IF(F94&lt;&gt;"","Fundador",""),IF(G94&lt;&gt;"","Anjo",""),IF(H94&lt;&gt;"","VC",""),IF(I94&lt;&gt;"","Gestão",""),IF(J94&lt;&gt;"","Conselho",""),IF(K94&lt;&gt;"","Buscapé","")))</f>
        <v/>
      </c>
      <c r="N94" t="inlineStr">
        <is>
          <t>Vendida à Essilor</t>
        </is>
      </c>
      <c r="O94" s="5" t="inlineStr"/>
      <c r="P94" t="inlineStr">
        <is>
          <t>Adquirida</t>
        </is>
      </c>
      <c r="Q94" t="inlineStr"/>
      <c r="R94" t="inlineStr">
        <is>
          <t>https://www.crunchbase.com/organization/lema21</t>
        </is>
      </c>
      <c r="S94" t="inlineStr">
        <is>
          <t>lema21.png</t>
        </is>
      </c>
      <c r="T94" t="inlineStr"/>
      <c r="U94" t="inlineStr"/>
      <c r="V94" t="inlineStr"/>
      <c r="W94" t="inlineStr"/>
      <c r="X94" t="inlineStr"/>
      <c r="Y94" t="inlineStr"/>
      <c r="Z94" t="inlineStr"/>
    </row>
    <row r="95">
      <c r="A95" s="5" t="inlineStr">
        <is>
          <t>1100</t>
        </is>
      </c>
      <c r="B95" s="5" t="inlineStr">
        <is>
          <t>x</t>
        </is>
      </c>
      <c r="C95" s="5" t="inlineStr"/>
      <c r="D95" t="inlineStr">
        <is>
          <t>Prontmed</t>
        </is>
      </c>
      <c r="E95" t="inlineStr"/>
      <c r="F95" s="5" t="inlineStr"/>
      <c r="G95" s="5" t="inlineStr">
        <is>
          <t>x</t>
        </is>
      </c>
      <c r="H95" s="5" t="inlineStr"/>
      <c r="I95" s="5" t="inlineStr"/>
      <c r="J95" s="5" t="inlineStr"/>
      <c r="K95" s="5" t="inlineStr"/>
      <c r="L95" t="inlineStr"/>
      <c r="M95" s="6">
        <f>IF(L95&lt;&gt;"",L95,_xlfn.TEXTJOIN(" · ",TRUE,IF(F95&lt;&gt;"","Fundador",""),IF(G95&lt;&gt;"","Anjo",""),IF(H95&lt;&gt;"","VC",""),IF(I95&lt;&gt;"","Gestão",""),IF(J95&lt;&gt;"","Conselho",""),IF(K95&lt;&gt;"","Buscapé","")))</f>
        <v/>
      </c>
      <c r="N95" t="inlineStr"/>
      <c r="O95" s="5" t="inlineStr"/>
      <c r="P95" t="inlineStr">
        <is>
          <t>Ativa</t>
        </is>
      </c>
      <c r="Q95" t="inlineStr">
        <is>
          <t>https://www.prontmed.com</t>
        </is>
      </c>
      <c r="R95" t="inlineStr">
        <is>
          <t>https://www.crunchbase.com/organization/prontmed</t>
        </is>
      </c>
      <c r="S95" t="inlineStr">
        <is>
          <t>prontmed.png</t>
        </is>
      </c>
      <c r="T95" t="inlineStr"/>
      <c r="U95" t="inlineStr"/>
      <c r="V95" t="inlineStr"/>
      <c r="W95" t="inlineStr"/>
      <c r="X95" t="inlineStr"/>
      <c r="Y95" t="inlineStr"/>
      <c r="Z95" t="inlineStr"/>
    </row>
    <row r="96">
      <c r="A96" s="5" t="inlineStr">
        <is>
          <t>1110</t>
        </is>
      </c>
      <c r="B96" s="5" t="inlineStr">
        <is>
          <t>x</t>
        </is>
      </c>
      <c r="C96" s="5" t="inlineStr"/>
      <c r="D96" t="inlineStr">
        <is>
          <t>Qipu / MEI Grátis</t>
        </is>
      </c>
      <c r="E96" t="inlineStr"/>
      <c r="F96" s="5" t="inlineStr"/>
      <c r="G96" s="5" t="inlineStr">
        <is>
          <t>x</t>
        </is>
      </c>
      <c r="H96" s="5" t="inlineStr"/>
      <c r="I96" s="5" t="inlineStr"/>
      <c r="J96" s="5" t="inlineStr"/>
      <c r="K96" s="5" t="inlineStr"/>
      <c r="L96" t="inlineStr"/>
      <c r="M96" s="6">
        <f>IF(L96&lt;&gt;"",L96,_xlfn.TEXTJOIN(" · ",TRUE,IF(F96&lt;&gt;"","Fundador",""),IF(G96&lt;&gt;"","Anjo",""),IF(H96&lt;&gt;"","VC",""),IF(I96&lt;&gt;"","Gestão",""),IF(J96&lt;&gt;"","Conselho",""),IF(K96&lt;&gt;"","Buscapé","")))</f>
        <v/>
      </c>
      <c r="N96" t="inlineStr"/>
      <c r="O96" s="5" t="inlineStr"/>
      <c r="P96" t="inlineStr"/>
      <c r="Q96" t="inlineStr">
        <is>
          <t>https://qipu.com.br/</t>
        </is>
      </c>
      <c r="R96" t="inlineStr">
        <is>
          <t>https://www.crunchbase.com/organization/qipu</t>
        </is>
      </c>
      <c r="S96" t="inlineStr">
        <is>
          <t>qipu-mei-gratis.png</t>
        </is>
      </c>
      <c r="T96" t="inlineStr"/>
      <c r="U96" t="inlineStr"/>
      <c r="V96" t="inlineStr"/>
      <c r="W96" t="inlineStr"/>
      <c r="X96" t="inlineStr"/>
      <c r="Y96" t="inlineStr"/>
      <c r="Z96" t="inlineStr"/>
    </row>
    <row r="97">
      <c r="A97" s="5" t="inlineStr">
        <is>
          <t>1120</t>
        </is>
      </c>
      <c r="B97" s="5" t="inlineStr">
        <is>
          <t>x</t>
        </is>
      </c>
      <c r="C97" s="5" t="inlineStr"/>
      <c r="D97" t="inlineStr">
        <is>
          <t>Quero Educação</t>
        </is>
      </c>
      <c r="E97" t="inlineStr"/>
      <c r="F97" s="5" t="inlineStr"/>
      <c r="G97" s="5" t="inlineStr">
        <is>
          <t>x</t>
        </is>
      </c>
      <c r="H97" s="5" t="inlineStr"/>
      <c r="I97" s="5" t="inlineStr"/>
      <c r="J97" s="5" t="inlineStr"/>
      <c r="K97" s="5" t="inlineStr"/>
      <c r="L97" t="inlineStr"/>
      <c r="M97" s="6">
        <f>IF(L97&lt;&gt;"",L97,_xlfn.TEXTJOIN(" · ",TRUE,IF(F97&lt;&gt;"","Fundador",""),IF(G97&lt;&gt;"","Anjo",""),IF(H97&lt;&gt;"","VC",""),IF(I97&lt;&gt;"","Gestão",""),IF(J97&lt;&gt;"","Conselho",""),IF(K97&lt;&gt;"","Buscapé","")))</f>
        <v/>
      </c>
      <c r="N97" t="inlineStr"/>
      <c r="O97" s="5" t="inlineStr"/>
      <c r="P97" t="inlineStr">
        <is>
          <t>Ativa</t>
        </is>
      </c>
      <c r="Q97" t="inlineStr"/>
      <c r="R97" t="inlineStr">
        <is>
          <t>https://www.crunchbase.com/organization/quero-education</t>
        </is>
      </c>
      <c r="S97" t="inlineStr">
        <is>
          <t>quero-educacao.png</t>
        </is>
      </c>
      <c r="T97" t="inlineStr"/>
      <c r="U97" t="inlineStr"/>
      <c r="V97" t="inlineStr"/>
      <c r="W97" t="inlineStr"/>
      <c r="X97" t="inlineStr"/>
      <c r="Y97" t="inlineStr"/>
      <c r="Z97" t="inlineStr"/>
    </row>
    <row r="98">
      <c r="A98" s="5" t="inlineStr">
        <is>
          <t>1130</t>
        </is>
      </c>
      <c r="B98" s="5" t="inlineStr">
        <is>
          <t>x</t>
        </is>
      </c>
      <c r="C98" s="5" t="inlineStr"/>
      <c r="D98" t="inlineStr">
        <is>
          <t>SP Ventures</t>
        </is>
      </c>
      <c r="E98" t="inlineStr"/>
      <c r="F98" s="5" t="inlineStr"/>
      <c r="G98" s="5" t="inlineStr">
        <is>
          <t>x</t>
        </is>
      </c>
      <c r="H98" s="5" t="inlineStr"/>
      <c r="I98" s="5" t="inlineStr"/>
      <c r="J98" s="5" t="inlineStr"/>
      <c r="K98" s="5" t="inlineStr"/>
      <c r="L98" t="inlineStr"/>
      <c r="M98" s="6">
        <f>IF(L98&lt;&gt;"",L98,_xlfn.TEXTJOIN(" · ",TRUE,IF(F98&lt;&gt;"","Fundador",""),IF(G98&lt;&gt;"","Anjo",""),IF(H98&lt;&gt;"","VC",""),IF(I98&lt;&gt;"","Gestão",""),IF(J98&lt;&gt;"","Conselho",""),IF(K98&lt;&gt;"","Buscapé","")))</f>
        <v/>
      </c>
      <c r="N98" t="inlineStr"/>
      <c r="O98" s="5" t="inlineStr"/>
      <c r="P98" t="inlineStr"/>
      <c r="Q98" t="inlineStr">
        <is>
          <t>https://spventures.com.br/</t>
        </is>
      </c>
      <c r="R98" t="inlineStr">
        <is>
          <t>https://www.crunchbase.com/organization/sp-ventures</t>
        </is>
      </c>
      <c r="S98" t="inlineStr">
        <is>
          <t>sp-ventures-2026.png</t>
        </is>
      </c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5" t="inlineStr">
        <is>
          <t>1140</t>
        </is>
      </c>
      <c r="B99" s="5" t="inlineStr">
        <is>
          <t>x</t>
        </is>
      </c>
      <c r="C99" s="5" t="inlineStr"/>
      <c r="D99" t="inlineStr">
        <is>
          <t>SetYou</t>
        </is>
      </c>
      <c r="E99" t="inlineStr"/>
      <c r="F99" s="5" t="inlineStr"/>
      <c r="G99" s="5" t="inlineStr">
        <is>
          <t>x</t>
        </is>
      </c>
      <c r="H99" s="5" t="inlineStr"/>
      <c r="I99" s="5" t="inlineStr"/>
      <c r="J99" s="5" t="inlineStr"/>
      <c r="K99" s="5" t="inlineStr"/>
      <c r="L99" t="inlineStr"/>
      <c r="M99" s="6">
        <f>IF(L99&lt;&gt;"",L99,_xlfn.TEXTJOIN(" · ",TRUE,IF(F99&lt;&gt;"","Fundador",""),IF(G99&lt;&gt;"","Anjo",""),IF(H99&lt;&gt;"","VC",""),IF(I99&lt;&gt;"","Gestão",""),IF(J99&lt;&gt;"","Conselho",""),IF(K99&lt;&gt;"","Buscapé","")))</f>
        <v/>
      </c>
      <c r="N99" t="inlineStr"/>
      <c r="O99" s="5" t="inlineStr"/>
      <c r="P99" t="inlineStr"/>
      <c r="Q99" t="inlineStr">
        <is>
          <t>https://setyou.com.br/</t>
        </is>
      </c>
      <c r="R99" t="inlineStr">
        <is>
          <t>https://www.crunchbase.com/organization/set-you</t>
        </is>
      </c>
      <c r="S99" t="inlineStr">
        <is>
          <t>setyou.png</t>
        </is>
      </c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5" t="inlineStr">
        <is>
          <t>1150</t>
        </is>
      </c>
      <c r="B100" s="5" t="inlineStr">
        <is>
          <t>x</t>
        </is>
      </c>
      <c r="C100" s="5" t="inlineStr"/>
      <c r="D100" t="inlineStr">
        <is>
          <t>ViajaNet</t>
        </is>
      </c>
      <c r="E100" t="inlineStr"/>
      <c r="F100" s="5" t="inlineStr"/>
      <c r="G100" s="5" t="inlineStr"/>
      <c r="H100" s="5" t="inlineStr">
        <is>
          <t>x</t>
        </is>
      </c>
      <c r="I100" s="5" t="inlineStr"/>
      <c r="J100" s="5" t="inlineStr"/>
      <c r="K100" s="5" t="inlineStr"/>
      <c r="L100" t="inlineStr"/>
      <c r="M100" s="6">
        <f>IF(L100&lt;&gt;"",L100,_xlfn.TEXTJOIN(" · ",TRUE,IF(F100&lt;&gt;"","Fundador",""),IF(G100&lt;&gt;"","Anjo",""),IF(H100&lt;&gt;"","VC",""),IF(I100&lt;&gt;"","Gestão",""),IF(J100&lt;&gt;"","Conselho",""),IF(K100&lt;&gt;"","Buscapé","")))</f>
        <v/>
      </c>
      <c r="N100" t="inlineStr"/>
      <c r="O100" s="5" t="inlineStr"/>
      <c r="P100" t="inlineStr"/>
      <c r="Q100" t="inlineStr"/>
      <c r="R100" t="inlineStr">
        <is>
          <t>https://www.crunchbase.com/organization/viajanet</t>
        </is>
      </c>
      <c r="S100" t="inlineStr">
        <is>
          <t>viajanet.png</t>
        </is>
      </c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5" t="inlineStr">
        <is>
          <t>1900</t>
        </is>
      </c>
      <c r="B101" s="5" t="inlineStr">
        <is>
          <t>x</t>
        </is>
      </c>
      <c r="C101" s="5" t="inlineStr"/>
      <c r="D101" t="inlineStr">
        <is>
          <t>Ceneo</t>
        </is>
      </c>
      <c r="E101" t="inlineStr"/>
      <c r="F101" s="5" t="inlineStr"/>
      <c r="G101" s="5" t="inlineStr"/>
      <c r="H101" s="5" t="inlineStr"/>
      <c r="I101" s="5" t="inlineStr"/>
      <c r="J101" s="5" t="inlineStr"/>
      <c r="K101" s="5" t="inlineStr">
        <is>
          <t>x</t>
        </is>
      </c>
      <c r="L101" t="inlineStr"/>
      <c r="M101" s="6">
        <f>IF(L101&lt;&gt;"",L101,_xlfn.TEXTJOIN(" · ",TRUE,IF(F101&lt;&gt;"","Fundador",""),IF(G101&lt;&gt;"","Anjo",""),IF(H101&lt;&gt;"","VC",""),IF(I101&lt;&gt;"","Gestão",""),IF(J101&lt;&gt;"","Conselho",""),IF(K101&lt;&gt;"","Buscapé","")))</f>
        <v/>
      </c>
      <c r="N101" t="inlineStr"/>
      <c r="O101" s="5" t="inlineStr">
        <is>
          <t>2014</t>
        </is>
      </c>
      <c r="P101" t="inlineStr"/>
      <c r="Q101" t="inlineStr">
        <is>
          <t>https://www.ceneo.pl/</t>
        </is>
      </c>
      <c r="R101" t="inlineStr">
        <is>
          <t>https://www.crunchbase.com/organization/ceneo</t>
        </is>
      </c>
      <c r="S101" t="inlineStr">
        <is>
          <t>ceneo.png</t>
        </is>
      </c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s="5" t="inlineStr">
        <is>
          <t>1901</t>
        </is>
      </c>
      <c r="B102" s="5" t="inlineStr">
        <is>
          <t>x</t>
        </is>
      </c>
      <c r="C102" s="5" t="inlineStr"/>
      <c r="D102" t="inlineStr">
        <is>
          <t>Compari</t>
        </is>
      </c>
      <c r="E102" t="inlineStr"/>
      <c r="F102" s="5" t="inlineStr"/>
      <c r="G102" s="5" t="inlineStr"/>
      <c r="H102" s="5" t="inlineStr"/>
      <c r="I102" s="5" t="inlineStr"/>
      <c r="J102" s="5" t="inlineStr"/>
      <c r="K102" s="5" t="inlineStr">
        <is>
          <t>x</t>
        </is>
      </c>
      <c r="L102" t="inlineStr"/>
      <c r="M102" s="6">
        <f>IF(L102&lt;&gt;"",L102,_xlfn.TEXTJOIN(" · ",TRUE,IF(F102&lt;&gt;"","Fundador",""),IF(G102&lt;&gt;"","Anjo",""),IF(H102&lt;&gt;"","VC",""),IF(I102&lt;&gt;"","Gestão",""),IF(J102&lt;&gt;"","Conselho",""),IF(K102&lt;&gt;"","Buscapé","")))</f>
        <v/>
      </c>
      <c r="N102" t="inlineStr"/>
      <c r="O102" s="5" t="inlineStr">
        <is>
          <t>2014</t>
        </is>
      </c>
      <c r="P102" t="inlineStr"/>
      <c r="Q102" t="inlineStr"/>
      <c r="R102" t="inlineStr"/>
      <c r="S102" t="inlineStr">
        <is>
          <t>compari.png</t>
        </is>
      </c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s="5" t="inlineStr">
        <is>
          <t>1902</t>
        </is>
      </c>
      <c r="B103" s="5" t="inlineStr">
        <is>
          <t>x</t>
        </is>
      </c>
      <c r="C103" s="5" t="inlineStr"/>
      <c r="D103" t="inlineStr">
        <is>
          <t>Drezzi</t>
        </is>
      </c>
      <c r="E103" t="inlineStr"/>
      <c r="F103" s="5" t="inlineStr"/>
      <c r="G103" s="5" t="inlineStr"/>
      <c r="H103" s="5" t="inlineStr"/>
      <c r="I103" s="5" t="inlineStr"/>
      <c r="J103" s="5" t="inlineStr"/>
      <c r="K103" s="5" t="inlineStr">
        <is>
          <t>x</t>
        </is>
      </c>
      <c r="L103" t="inlineStr"/>
      <c r="M103" s="6">
        <f>IF(L103&lt;&gt;"",L103,_xlfn.TEXTJOIN(" · ",TRUE,IF(F103&lt;&gt;"","Fundador",""),IF(G103&lt;&gt;"","Anjo",""),IF(H103&lt;&gt;"","VC",""),IF(I103&lt;&gt;"","Gestão",""),IF(J103&lt;&gt;"","Conselho",""),IF(K103&lt;&gt;"","Buscapé","")))</f>
        <v/>
      </c>
      <c r="N103" t="inlineStr"/>
      <c r="O103" s="5" t="inlineStr">
        <is>
          <t>2014</t>
        </is>
      </c>
      <c r="P103" t="inlineStr"/>
      <c r="Q103" t="inlineStr"/>
      <c r="R103" t="inlineStr">
        <is>
          <t>https://www.crunchbase.com/organization/drezzy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s="5" t="inlineStr">
        <is>
          <t>1903</t>
        </is>
      </c>
      <c r="B104" s="5" t="inlineStr">
        <is>
          <t>x</t>
        </is>
      </c>
      <c r="C104" s="5" t="inlineStr"/>
      <c r="D104" t="inlineStr">
        <is>
          <t>Heureka</t>
        </is>
      </c>
      <c r="E104" t="inlineStr"/>
      <c r="F104" s="5" t="inlineStr"/>
      <c r="G104" s="5" t="inlineStr"/>
      <c r="H104" s="5" t="inlineStr"/>
      <c r="I104" s="5" t="inlineStr"/>
      <c r="J104" s="5" t="inlineStr"/>
      <c r="K104" s="5" t="inlineStr">
        <is>
          <t>x</t>
        </is>
      </c>
      <c r="L104" t="inlineStr"/>
      <c r="M104" s="6">
        <f>IF(L104&lt;&gt;"",L104,_xlfn.TEXTJOIN(" · ",TRUE,IF(F104&lt;&gt;"","Fundador",""),IF(G104&lt;&gt;"","Anjo",""),IF(H104&lt;&gt;"","VC",""),IF(I104&lt;&gt;"","Gestão",""),IF(J104&lt;&gt;"","Conselho",""),IF(K104&lt;&gt;"","Buscapé","")))</f>
        <v/>
      </c>
      <c r="N104" t="inlineStr"/>
      <c r="O104" s="5" t="inlineStr">
        <is>
          <t>2014</t>
        </is>
      </c>
      <c r="P104" t="inlineStr"/>
      <c r="Q104" t="inlineStr"/>
      <c r="R104" t="inlineStr">
        <is>
          <t>https://www.crunchbase.com/organization/heureka-group</t>
        </is>
      </c>
      <c r="S104" t="inlineStr">
        <is>
          <t>heureka.png</t>
        </is>
      </c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5" t="inlineStr">
        <is>
          <t>1904</t>
        </is>
      </c>
      <c r="B105" s="5" t="inlineStr"/>
      <c r="C105" s="5" t="inlineStr"/>
      <c r="D105" t="inlineStr">
        <is>
          <t>Misshobby</t>
        </is>
      </c>
      <c r="E105" t="inlineStr"/>
      <c r="F105" s="5" t="inlineStr"/>
      <c r="G105" s="5" t="inlineStr"/>
      <c r="H105" s="5" t="inlineStr"/>
      <c r="I105" s="5" t="inlineStr">
        <is>
          <t>x</t>
        </is>
      </c>
      <c r="J105" s="5" t="inlineStr">
        <is>
          <t>x</t>
        </is>
      </c>
      <c r="K105" s="5" t="inlineStr"/>
      <c r="L105" t="inlineStr"/>
      <c r="M105" s="6">
        <f>IF(L105&lt;&gt;"",L105,_xlfn.TEXTJOIN(" · ",TRUE,IF(F105&lt;&gt;"","Fundador",""),IF(G105&lt;&gt;"","Anjo",""),IF(H105&lt;&gt;"","VC",""),IF(I105&lt;&gt;"","Gestão",""),IF(J105&lt;&gt;"","Conselho",""),IF(K105&lt;&gt;"","Buscapé","")))</f>
        <v/>
      </c>
      <c r="N105" t="inlineStr"/>
      <c r="O105" s="5" t="inlineStr">
        <is>
          <t>2014</t>
        </is>
      </c>
      <c r="P105" t="inlineStr"/>
      <c r="Q105" t="inlineStr">
        <is>
          <t>https://www.misshobby.com/it</t>
        </is>
      </c>
      <c r="R105" t="inlineStr"/>
      <c r="S105" t="inlineStr">
        <is>
          <t>misshobby.png</t>
        </is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5" t="inlineStr">
        <is>
          <t>1905</t>
        </is>
      </c>
      <c r="B106" s="5" t="inlineStr">
        <is>
          <t>x</t>
        </is>
      </c>
      <c r="C106" s="5" t="inlineStr"/>
      <c r="D106" t="inlineStr">
        <is>
          <t>Pazaruvaj</t>
        </is>
      </c>
      <c r="E106" t="inlineStr"/>
      <c r="F106" s="5" t="inlineStr"/>
      <c r="G106" s="5" t="inlineStr"/>
      <c r="H106" s="5" t="inlineStr"/>
      <c r="I106" s="5" t="inlineStr"/>
      <c r="J106" s="5" t="inlineStr"/>
      <c r="K106" s="5" t="inlineStr">
        <is>
          <t>x</t>
        </is>
      </c>
      <c r="L106" t="inlineStr"/>
      <c r="M106" s="6">
        <f>IF(L106&lt;&gt;"",L106,_xlfn.TEXTJOIN(" · ",TRUE,IF(F106&lt;&gt;"","Fundador",""),IF(G106&lt;&gt;"","Anjo",""),IF(H106&lt;&gt;"","VC",""),IF(I106&lt;&gt;"","Gestão",""),IF(J106&lt;&gt;"","Conselho",""),IF(K106&lt;&gt;"","Buscapé","")))</f>
        <v/>
      </c>
      <c r="N106" t="inlineStr"/>
      <c r="O106" s="5" t="inlineStr">
        <is>
          <t>2014</t>
        </is>
      </c>
      <c r="P106" t="inlineStr"/>
      <c r="Q106" t="inlineStr"/>
      <c r="R106" t="inlineStr"/>
      <c r="S106" t="inlineStr">
        <is>
          <t>pazaruvaj.png</t>
        </is>
      </c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s="5" t="inlineStr">
        <is>
          <t>1906</t>
        </is>
      </c>
      <c r="B107" s="5" t="inlineStr">
        <is>
          <t>x</t>
        </is>
      </c>
      <c r="C107" s="5" t="inlineStr"/>
      <c r="D107" t="inlineStr">
        <is>
          <t>PriceCheck</t>
        </is>
      </c>
      <c r="E107" t="inlineStr"/>
      <c r="F107" s="5" t="inlineStr"/>
      <c r="G107" s="5" t="inlineStr"/>
      <c r="H107" s="5" t="inlineStr"/>
      <c r="I107" s="5" t="inlineStr"/>
      <c r="J107" s="5" t="inlineStr"/>
      <c r="K107" s="5" t="inlineStr">
        <is>
          <t>x</t>
        </is>
      </c>
      <c r="L107" t="inlineStr"/>
      <c r="M107" s="6">
        <f>IF(L107&lt;&gt;"",L107,_xlfn.TEXTJOIN(" · ",TRUE,IF(F107&lt;&gt;"","Fundador",""),IF(G107&lt;&gt;"","Anjo",""),IF(H107&lt;&gt;"","VC",""),IF(I107&lt;&gt;"","Gestão",""),IF(J107&lt;&gt;"","Conselho",""),IF(K107&lt;&gt;"","Buscapé","")))</f>
        <v/>
      </c>
      <c r="N107" t="inlineStr"/>
      <c r="O107" s="5" t="inlineStr">
        <is>
          <t>2014</t>
        </is>
      </c>
      <c r="P107" t="inlineStr"/>
      <c r="Q107" t="inlineStr"/>
      <c r="R107" t="inlineStr">
        <is>
          <t>https://www.crunchbase.com/organization/pricecheck</t>
        </is>
      </c>
      <c r="S107" t="inlineStr">
        <is>
          <t>pricecheck.png</t>
        </is>
      </c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s="5" t="inlineStr">
        <is>
          <t>1907</t>
        </is>
      </c>
      <c r="B108" s="5" t="inlineStr">
        <is>
          <t>x</t>
        </is>
      </c>
      <c r="C108" s="5" t="inlineStr"/>
      <c r="D108" t="inlineStr">
        <is>
          <t>ShoppyDoo</t>
        </is>
      </c>
      <c r="E108" t="inlineStr"/>
      <c r="F108" s="5" t="inlineStr"/>
      <c r="G108" s="5" t="inlineStr"/>
      <c r="H108" s="5" t="inlineStr"/>
      <c r="I108" s="5" t="inlineStr"/>
      <c r="J108" s="5" t="inlineStr"/>
      <c r="K108" s="5" t="inlineStr">
        <is>
          <t>x</t>
        </is>
      </c>
      <c r="L108" t="inlineStr"/>
      <c r="M108" s="6">
        <f>IF(L108&lt;&gt;"",L108,_xlfn.TEXTJOIN(" · ",TRUE,IF(F108&lt;&gt;"","Fundador",""),IF(G108&lt;&gt;"","Anjo",""),IF(H108&lt;&gt;"","VC",""),IF(I108&lt;&gt;"","Gestão",""),IF(J108&lt;&gt;"","Conselho",""),IF(K108&lt;&gt;"","Buscapé","")))</f>
        <v/>
      </c>
      <c r="N108" t="inlineStr"/>
      <c r="O108" s="5" t="inlineStr">
        <is>
          <t>2014</t>
        </is>
      </c>
      <c r="P108" t="inlineStr"/>
      <c r="Q108" t="inlineStr">
        <is>
          <t>https://www.shoppydoo.it/</t>
        </is>
      </c>
      <c r="R108" t="inlineStr">
        <is>
          <t>https://www.crunchbase.com/organization/shoppydoo</t>
        </is>
      </c>
      <c r="S108" t="inlineStr">
        <is>
          <t>shoppydoo.png</t>
        </is>
      </c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s="5" t="inlineStr">
        <is>
          <t>1908</t>
        </is>
      </c>
      <c r="B109" s="5" t="inlineStr">
        <is>
          <t>x</t>
        </is>
      </c>
      <c r="C109" s="5" t="inlineStr"/>
      <c r="D109" t="inlineStr">
        <is>
          <t>Trovaprezzi</t>
        </is>
      </c>
      <c r="E109" t="inlineStr"/>
      <c r="F109" s="5" t="inlineStr"/>
      <c r="G109" s="5" t="inlineStr"/>
      <c r="H109" s="5" t="inlineStr"/>
      <c r="I109" s="5" t="inlineStr"/>
      <c r="J109" s="5" t="inlineStr"/>
      <c r="K109" s="5" t="inlineStr">
        <is>
          <t>x</t>
        </is>
      </c>
      <c r="L109" t="inlineStr"/>
      <c r="M109" s="6">
        <f>IF(L109&lt;&gt;"",L109,_xlfn.TEXTJOIN(" · ",TRUE,IF(F109&lt;&gt;"","Fundador",""),IF(G109&lt;&gt;"","Anjo",""),IF(H109&lt;&gt;"","VC",""),IF(I109&lt;&gt;"","Gestão",""),IF(J109&lt;&gt;"","Conselho",""),IF(K109&lt;&gt;"","Buscapé","")))</f>
        <v/>
      </c>
      <c r="N109" t="inlineStr"/>
      <c r="O109" s="5" t="inlineStr">
        <is>
          <t>2014</t>
        </is>
      </c>
      <c r="P109" t="inlineStr"/>
      <c r="Q109" t="inlineStr"/>
      <c r="R109" t="inlineStr">
        <is>
          <t>https://www.crunchbase.com/organization/trovaprezzi-it-d087</t>
        </is>
      </c>
      <c r="S109" t="inlineStr">
        <is>
          <t>trovaprezzi.png</t>
        </is>
      </c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s="5" t="inlineStr">
        <is>
          <t>1909</t>
        </is>
      </c>
      <c r="B110" s="5" t="inlineStr">
        <is>
          <t>x</t>
        </is>
      </c>
      <c r="C110" s="5" t="inlineStr"/>
      <c r="D110" t="inlineStr">
        <is>
          <t>Ucuzu</t>
        </is>
      </c>
      <c r="E110" t="inlineStr"/>
      <c r="F110" s="5" t="inlineStr"/>
      <c r="G110" s="5" t="inlineStr"/>
      <c r="H110" s="5" t="inlineStr"/>
      <c r="I110" s="5" t="inlineStr"/>
      <c r="J110" s="5" t="inlineStr"/>
      <c r="K110" s="5" t="inlineStr">
        <is>
          <t>x</t>
        </is>
      </c>
      <c r="L110" t="inlineStr"/>
      <c r="M110" s="6">
        <f>IF(L110&lt;&gt;"",L110,_xlfn.TEXTJOIN(" · ",TRUE,IF(F110&lt;&gt;"","Fundador",""),IF(G110&lt;&gt;"","Anjo",""),IF(H110&lt;&gt;"","VC",""),IF(I110&lt;&gt;"","Gestão",""),IF(J110&lt;&gt;"","Conselho",""),IF(K110&lt;&gt;"","Buscapé","")))</f>
        <v/>
      </c>
      <c r="N110" t="inlineStr"/>
      <c r="O110" s="5" t="inlineStr">
        <is>
          <t>2014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s="5" t="inlineStr">
        <is>
          <t>1910</t>
        </is>
      </c>
      <c r="B111" s="5" t="inlineStr">
        <is>
          <t>x</t>
        </is>
      </c>
      <c r="C111" s="5" t="inlineStr"/>
      <c r="D111" t="inlineStr">
        <is>
          <t>Vcene</t>
        </is>
      </c>
      <c r="E111" t="inlineStr"/>
      <c r="F111" s="5" t="inlineStr"/>
      <c r="G111" s="5" t="inlineStr"/>
      <c r="H111" s="5" t="inlineStr"/>
      <c r="I111" s="5" t="inlineStr"/>
      <c r="J111" s="5" t="inlineStr"/>
      <c r="K111" s="5" t="inlineStr">
        <is>
          <t>x</t>
        </is>
      </c>
      <c r="L111" t="inlineStr"/>
      <c r="M111" s="6">
        <f>IF(L111&lt;&gt;"",L111,_xlfn.TEXTJOIN(" · ",TRUE,IF(F111&lt;&gt;"","Fundador",""),IF(G111&lt;&gt;"","Anjo",""),IF(H111&lt;&gt;"","VC",""),IF(I111&lt;&gt;"","Gestão",""),IF(J111&lt;&gt;"","Conselho",""),IF(K111&lt;&gt;"","Buscapé","")))</f>
        <v/>
      </c>
      <c r="N111" t="inlineStr"/>
      <c r="O111" s="5" t="inlineStr">
        <is>
          <t>2014</t>
        </is>
      </c>
      <c r="P111" t="inlineStr"/>
      <c r="Q111" t="inlineStr"/>
      <c r="R111" t="inlineStr">
        <is>
          <t>https://www.crunchbase.com/organization/vcene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s="5" t="inlineStr">
        <is>
          <t>1911</t>
        </is>
      </c>
      <c r="B112" s="5" t="inlineStr">
        <is>
          <t>x</t>
        </is>
      </c>
      <c r="C112" s="5" t="inlineStr"/>
      <c r="D112" t="inlineStr">
        <is>
          <t>Árukereső</t>
        </is>
      </c>
      <c r="E112" t="inlineStr"/>
      <c r="F112" s="5" t="inlineStr"/>
      <c r="G112" s="5" t="inlineStr"/>
      <c r="H112" s="5" t="inlineStr"/>
      <c r="I112" s="5" t="inlineStr"/>
      <c r="J112" s="5" t="inlineStr"/>
      <c r="K112" s="5" t="inlineStr">
        <is>
          <t>x</t>
        </is>
      </c>
      <c r="L112" t="inlineStr"/>
      <c r="M112" s="6">
        <f>IF(L112&lt;&gt;"",L112,_xlfn.TEXTJOIN(" · ",TRUE,IF(F112&lt;&gt;"","Fundador",""),IF(G112&lt;&gt;"","Anjo",""),IF(H112&lt;&gt;"","VC",""),IF(I112&lt;&gt;"","Gestão",""),IF(J112&lt;&gt;"","Conselho",""),IF(K112&lt;&gt;"","Buscapé","")))</f>
        <v/>
      </c>
      <c r="N112" t="inlineStr"/>
      <c r="O112" s="5" t="inlineStr">
        <is>
          <t>2014</t>
        </is>
      </c>
      <c r="P112" t="inlineStr"/>
      <c r="Q112" t="inlineStr"/>
      <c r="R112" t="inlineStr">
        <is>
          <t>https://www.crunchbase.com/organization/%C3%A1rukeres%C5%91</t>
        </is>
      </c>
      <c r="S112" t="inlineStr">
        <is>
          <t>arukereso.png</t>
        </is>
      </c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s="5" t="inlineStr">
        <is>
          <t>2000</t>
        </is>
      </c>
      <c r="B113" s="5" t="inlineStr">
        <is>
          <t>x</t>
        </is>
      </c>
      <c r="C113" s="5" t="inlineStr"/>
      <c r="D113" t="inlineStr">
        <is>
          <t>FocoSoft</t>
        </is>
      </c>
      <c r="E113" t="inlineStr"/>
      <c r="F113" s="5" t="inlineStr">
        <is>
          <t>x</t>
        </is>
      </c>
      <c r="G113" s="5" t="inlineStr"/>
      <c r="H113" s="5" t="inlineStr"/>
      <c r="I113" s="5" t="inlineStr"/>
      <c r="J113" s="5" t="inlineStr"/>
      <c r="K113" s="5" t="inlineStr"/>
      <c r="L113" t="inlineStr"/>
      <c r="M113" s="6">
        <f>IF(L113&lt;&gt;"",L113,_xlfn.TEXTJOIN(" · ",TRUE,IF(F113&lt;&gt;"","Fundador",""),IF(G113&lt;&gt;"","Anjo",""),IF(H113&lt;&gt;"","VC",""),IF(I113&lt;&gt;"","Gestão",""),IF(J113&lt;&gt;"","Conselho",""),IF(K113&lt;&gt;"","Buscapé","")))</f>
        <v/>
      </c>
      <c r="N113" t="inlineStr"/>
      <c r="O113" s="5" t="inlineStr">
        <is>
          <t>1995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s="5" t="inlineStr">
        <is>
          <t>2010</t>
        </is>
      </c>
      <c r="B114" s="5" t="inlineStr">
        <is>
          <t>x</t>
        </is>
      </c>
      <c r="C114" s="5" t="inlineStr"/>
      <c r="D114" t="inlineStr">
        <is>
          <t>Curupira</t>
        </is>
      </c>
      <c r="E114" t="inlineStr"/>
      <c r="F114" s="5" t="inlineStr"/>
      <c r="G114" s="5" t="inlineStr">
        <is>
          <t>x</t>
        </is>
      </c>
      <c r="H114" s="5" t="inlineStr"/>
      <c r="I114" s="5" t="inlineStr"/>
      <c r="J114" s="5" t="inlineStr"/>
      <c r="K114" s="5" t="inlineStr"/>
      <c r="L114" t="inlineStr"/>
      <c r="M114" s="6">
        <f>IF(L114&lt;&gt;"",L114,_xlfn.TEXTJOIN(" · ",TRUE,IF(F114&lt;&gt;"","Fundador",""),IF(G114&lt;&gt;"","Anjo",""),IF(H114&lt;&gt;"","VC",""),IF(I114&lt;&gt;"","Gestão",""),IF(J114&lt;&gt;"","Conselho",""),IF(K114&lt;&gt;"","Buscapé","")))</f>
        <v/>
      </c>
      <c r="N114" t="inlineStr"/>
      <c r="O114" s="5" t="inlineStr">
        <is>
          <t>2016</t>
        </is>
      </c>
      <c r="P114" t="inlineStr"/>
      <c r="Q114" t="inlineStr"/>
      <c r="R114" t="inlineStr">
        <is>
          <t>https://www.crunchbase.com/organization/curupira</t>
        </is>
      </c>
      <c r="S114" t="inlineStr">
        <is>
          <t>curupira.png</t>
        </is>
      </c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s="5" t="inlineStr">
        <is>
          <t>2020</t>
        </is>
      </c>
      <c r="B115" s="5" t="inlineStr">
        <is>
          <t>x</t>
        </is>
      </c>
      <c r="C115" s="5" t="inlineStr"/>
      <c r="D115" t="inlineStr">
        <is>
          <t>CyberCook / Vila Mulher</t>
        </is>
      </c>
      <c r="E115" t="inlineStr"/>
      <c r="F115" s="5" t="inlineStr"/>
      <c r="G115" s="5" t="inlineStr">
        <is>
          <t>x</t>
        </is>
      </c>
      <c r="H115" s="5" t="inlineStr"/>
      <c r="I115" s="5" t="inlineStr"/>
      <c r="J115" s="5" t="inlineStr"/>
      <c r="K115" s="5" t="inlineStr"/>
      <c r="L115" t="inlineStr"/>
      <c r="M115" s="6">
        <f>IF(L115&lt;&gt;"",L115,_xlfn.TEXTJOIN(" · ",TRUE,IF(F115&lt;&gt;"","Fundador",""),IF(G115&lt;&gt;"","Anjo",""),IF(H115&lt;&gt;"","VC",""),IF(I115&lt;&gt;"","Gestão",""),IF(J115&lt;&gt;"","Conselho",""),IF(K115&lt;&gt;"","Buscapé","")))</f>
        <v/>
      </c>
      <c r="N115" t="inlineStr"/>
      <c r="O115" s="5" t="inlineStr">
        <is>
          <t>2004</t>
        </is>
      </c>
      <c r="P115" t="inlineStr">
        <is>
          <t>Ativa</t>
        </is>
      </c>
      <c r="Q115" t="inlineStr"/>
      <c r="R115" t="inlineStr"/>
      <c r="S115" t="inlineStr">
        <is>
          <t>cybercook.png</t>
        </is>
      </c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s="5" t="inlineStr">
        <is>
          <t>2030</t>
        </is>
      </c>
      <c r="B116" s="5" t="inlineStr">
        <is>
          <t>x</t>
        </is>
      </c>
      <c r="C116" s="5" t="inlineStr"/>
      <c r="D116" t="inlineStr">
        <is>
          <t>Loteria Brasil</t>
        </is>
      </c>
      <c r="E116" t="inlineStr"/>
      <c r="F116" s="5" t="inlineStr"/>
      <c r="G116" s="5" t="inlineStr">
        <is>
          <t>x</t>
        </is>
      </c>
      <c r="H116" s="5" t="inlineStr"/>
      <c r="I116" s="5" t="inlineStr"/>
      <c r="J116" s="5" t="inlineStr"/>
      <c r="K116" s="5" t="inlineStr"/>
      <c r="L116" t="inlineStr"/>
      <c r="M116" s="6">
        <f>IF(L116&lt;&gt;"",L116,_xlfn.TEXTJOIN(" · ",TRUE,IF(F116&lt;&gt;"","Fundador",""),IF(G116&lt;&gt;"","Anjo",""),IF(H116&lt;&gt;"","VC",""),IF(I116&lt;&gt;"","Gestão",""),IF(J116&lt;&gt;"","Conselho",""),IF(K116&lt;&gt;"","Buscapé","")))</f>
        <v/>
      </c>
      <c r="N116" t="inlineStr"/>
      <c r="O116" s="5" t="inlineStr">
        <is>
          <t>2004</t>
        </is>
      </c>
      <c r="P116" t="inlineStr"/>
      <c r="Q116" t="inlineStr"/>
      <c r="R116" t="inlineStr"/>
      <c r="S116" t="inlineStr">
        <is>
          <t>loteria-brasil.png</t>
        </is>
      </c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s="5" t="inlineStr">
        <is>
          <t>2040</t>
        </is>
      </c>
      <c r="B117" s="5" t="inlineStr">
        <is>
          <t>x</t>
        </is>
      </c>
      <c r="C117" s="5" t="inlineStr"/>
      <c r="D117" t="inlineStr">
        <is>
          <t>eHub</t>
        </is>
      </c>
      <c r="E117" t="inlineStr"/>
      <c r="F117" s="5" t="inlineStr"/>
      <c r="G117" s="5" t="inlineStr">
        <is>
          <t>x</t>
        </is>
      </c>
      <c r="H117" s="5" t="inlineStr"/>
      <c r="I117" s="5" t="inlineStr"/>
      <c r="J117" s="5" t="inlineStr"/>
      <c r="K117" s="5" t="inlineStr"/>
      <c r="L117" t="inlineStr"/>
      <c r="M117" s="6">
        <f>IF(L117&lt;&gt;"",L117,_xlfn.TEXTJOIN(" · ",TRUE,IF(F117&lt;&gt;"","Fundador",""),IF(G117&lt;&gt;"","Anjo",""),IF(H117&lt;&gt;"","VC",""),IF(I117&lt;&gt;"","Gestão",""),IF(J117&lt;&gt;"","Conselho",""),IF(K117&lt;&gt;"","Buscapé","")))</f>
        <v/>
      </c>
      <c r="N117" t="inlineStr"/>
      <c r="O117" s="5" t="inlineStr">
        <is>
          <t>2004</t>
        </is>
      </c>
      <c r="P117" t="inlineStr"/>
      <c r="Q117" t="inlineStr"/>
      <c r="R117" t="inlineStr">
        <is>
          <t>https://www.crunchbase.com/organization/ehub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s="5" t="inlineStr">
        <is>
          <t>2050</t>
        </is>
      </c>
      <c r="B118" s="5" t="inlineStr">
        <is>
          <t>x</t>
        </is>
      </c>
      <c r="C118" s="5" t="inlineStr"/>
      <c r="D118" t="inlineStr">
        <is>
          <t>ContaPaga</t>
        </is>
      </c>
      <c r="E118" t="inlineStr"/>
      <c r="F118" s="5" t="inlineStr"/>
      <c r="G118" s="5" t="inlineStr">
        <is>
          <t>x</t>
        </is>
      </c>
      <c r="H118" s="5" t="inlineStr"/>
      <c r="I118" s="5" t="inlineStr"/>
      <c r="J118" s="5" t="inlineStr"/>
      <c r="K118" s="5" t="inlineStr"/>
      <c r="L118" t="inlineStr"/>
      <c r="M118" s="6">
        <f>IF(L118&lt;&gt;"",L118,_xlfn.TEXTJOIN(" · ",TRUE,IF(F118&lt;&gt;"","Fundador",""),IF(G118&lt;&gt;"","Anjo",""),IF(H118&lt;&gt;"","VC",""),IF(I118&lt;&gt;"","Gestão",""),IF(J118&lt;&gt;"","Conselho",""),IF(K118&lt;&gt;"","Buscapé","")))</f>
        <v/>
      </c>
      <c r="N118" t="inlineStr"/>
      <c r="O118" s="5" t="inlineStr"/>
      <c r="P118" t="inlineStr">
        <is>
          <t>Ativa</t>
        </is>
      </c>
      <c r="Q118" t="inlineStr"/>
      <c r="R118" t="inlineStr">
        <is>
          <t>https://www.crunchbase.com/organization/contapaga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s="5" t="inlineStr">
        <is>
          <t>2060</t>
        </is>
      </c>
      <c r="B119" s="5" t="inlineStr">
        <is>
          <t>x</t>
        </is>
      </c>
      <c r="C119" s="5" t="inlineStr"/>
      <c r="D119" t="inlineStr">
        <is>
          <t>HospedeVIP</t>
        </is>
      </c>
      <c r="E119" t="inlineStr"/>
      <c r="F119" s="5" t="inlineStr"/>
      <c r="G119" s="5" t="inlineStr">
        <is>
          <t>x</t>
        </is>
      </c>
      <c r="H119" s="5" t="inlineStr"/>
      <c r="I119" s="5" t="inlineStr"/>
      <c r="J119" s="5" t="inlineStr"/>
      <c r="K119" s="5" t="inlineStr"/>
      <c r="L119" t="inlineStr"/>
      <c r="M119" s="6">
        <f>IF(L119&lt;&gt;"",L119,_xlfn.TEXTJOIN(" · ",TRUE,IF(F119&lt;&gt;"","Fundador",""),IF(G119&lt;&gt;"","Anjo",""),IF(H119&lt;&gt;"","VC",""),IF(I119&lt;&gt;"","Gestão",""),IF(J119&lt;&gt;"","Conselho",""),IF(K119&lt;&gt;"","Buscapé","")))</f>
        <v/>
      </c>
      <c r="N119" t="inlineStr"/>
      <c r="O119" s="5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s="5" t="inlineStr">
        <is>
          <t>2070</t>
        </is>
      </c>
      <c r="B120" s="5" t="inlineStr">
        <is>
          <t>x</t>
        </is>
      </c>
      <c r="C120" s="5" t="inlineStr"/>
      <c r="D120" t="inlineStr">
        <is>
          <t>Jet8</t>
        </is>
      </c>
      <c r="E120" t="inlineStr"/>
      <c r="F120" s="5" t="inlineStr"/>
      <c r="G120" s="5" t="inlineStr">
        <is>
          <t>x</t>
        </is>
      </c>
      <c r="H120" s="5" t="inlineStr"/>
      <c r="I120" s="5" t="inlineStr"/>
      <c r="J120" s="5" t="inlineStr"/>
      <c r="K120" s="5" t="inlineStr"/>
      <c r="L120" t="inlineStr"/>
      <c r="M120" s="6">
        <f>IF(L120&lt;&gt;"",L120,_xlfn.TEXTJOIN(" · ",TRUE,IF(F120&lt;&gt;"","Fundador",""),IF(G120&lt;&gt;"","Anjo",""),IF(H120&lt;&gt;"","VC",""),IF(I120&lt;&gt;"","Gestão",""),IF(J120&lt;&gt;"","Conselho",""),IF(K120&lt;&gt;"","Buscapé","")))</f>
        <v/>
      </c>
      <c r="N120" t="inlineStr"/>
      <c r="O120" s="5" t="inlineStr"/>
      <c r="P120" t="inlineStr"/>
      <c r="Q120" t="inlineStr">
        <is>
          <t>https://jet8.io/</t>
        </is>
      </c>
      <c r="R120" t="inlineStr"/>
      <c r="S120" t="inlineStr">
        <is>
          <t>jet8-2026.png</t>
        </is>
      </c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s="5" t="inlineStr">
        <is>
          <t>2080</t>
        </is>
      </c>
      <c r="B121" s="5" t="inlineStr">
        <is>
          <t>x</t>
        </is>
      </c>
      <c r="C121" s="5" t="inlineStr"/>
      <c r="D121" t="inlineStr">
        <is>
          <t>LOFTY / ROOMORAMA</t>
        </is>
      </c>
      <c r="E121" t="inlineStr"/>
      <c r="F121" s="5" t="inlineStr"/>
      <c r="G121" s="5" t="inlineStr">
        <is>
          <t>x</t>
        </is>
      </c>
      <c r="H121" s="5" t="inlineStr"/>
      <c r="I121" s="5" t="inlineStr"/>
      <c r="J121" s="5" t="inlineStr"/>
      <c r="K121" s="5" t="inlineStr"/>
      <c r="L121" t="inlineStr"/>
      <c r="M121" s="6">
        <f>IF(L121&lt;&gt;"",L121,_xlfn.TEXTJOIN(" · ",TRUE,IF(F121&lt;&gt;"","Fundador",""),IF(G121&lt;&gt;"","Anjo",""),IF(H121&lt;&gt;"","VC",""),IF(I121&lt;&gt;"","Gestão",""),IF(J121&lt;&gt;"","Conselho",""),IF(K121&lt;&gt;"","Buscapé","")))</f>
        <v/>
      </c>
      <c r="N121" t="inlineStr"/>
      <c r="O121" s="5" t="inlineStr"/>
      <c r="P121" t="inlineStr"/>
      <c r="Q121" t="inlineStr">
        <is>
          <t>https://roomorama.com/</t>
        </is>
      </c>
      <c r="R121" t="inlineStr">
        <is>
          <t>https://www.crunchbase.com/organization/roomorama; https://www.crunchbase.com/organization/lofty-ai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s="5" t="inlineStr">
        <is>
          <t>2090</t>
        </is>
      </c>
      <c r="B122" s="5" t="inlineStr">
        <is>
          <t>x</t>
        </is>
      </c>
      <c r="C122" s="5" t="inlineStr"/>
      <c r="D122" t="inlineStr">
        <is>
          <t>Lulu App</t>
        </is>
      </c>
      <c r="E122" t="inlineStr"/>
      <c r="F122" s="5" t="inlineStr"/>
      <c r="G122" s="5" t="inlineStr">
        <is>
          <t>x</t>
        </is>
      </c>
      <c r="H122" s="5" t="inlineStr"/>
      <c r="I122" s="5" t="inlineStr"/>
      <c r="J122" s="5" t="inlineStr"/>
      <c r="K122" s="5" t="inlineStr"/>
      <c r="L122" t="inlineStr"/>
      <c r="M122" s="6">
        <f>IF(L122&lt;&gt;"",L122,_xlfn.TEXTJOIN(" · ",TRUE,IF(F122&lt;&gt;"","Fundador",""),IF(G122&lt;&gt;"","Anjo",""),IF(H122&lt;&gt;"","VC",""),IF(I122&lt;&gt;"","Gestão",""),IF(J122&lt;&gt;"","Conselho",""),IF(K122&lt;&gt;"","Buscapé","")))</f>
        <v/>
      </c>
      <c r="N122" t="inlineStr"/>
      <c r="O122" s="5" t="inlineStr"/>
      <c r="P122" t="inlineStr">
        <is>
          <t>Adquirida</t>
        </is>
      </c>
      <c r="Q122" t="inlineStr"/>
      <c r="R122" t="inlineStr">
        <is>
          <t>https://www.crunchbase.com/organization/lulu-2</t>
        </is>
      </c>
      <c r="S122" t="inlineStr">
        <is>
          <t>lulu-app.png</t>
        </is>
      </c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s="5" t="inlineStr">
        <is>
          <t>2100</t>
        </is>
      </c>
      <c r="B123" s="5" t="inlineStr">
        <is>
          <t>x</t>
        </is>
      </c>
      <c r="C123" s="5" t="inlineStr"/>
      <c r="D123" t="inlineStr">
        <is>
          <t>Moneto</t>
        </is>
      </c>
      <c r="E123" t="inlineStr"/>
      <c r="F123" s="5" t="inlineStr"/>
      <c r="G123" s="5" t="inlineStr">
        <is>
          <t>x</t>
        </is>
      </c>
      <c r="H123" s="5" t="inlineStr"/>
      <c r="I123" s="5" t="inlineStr"/>
      <c r="J123" s="5" t="inlineStr"/>
      <c r="K123" s="5" t="inlineStr"/>
      <c r="L123" t="inlineStr"/>
      <c r="M123" s="6">
        <f>IF(L123&lt;&gt;"",L123,_xlfn.TEXTJOIN(" · ",TRUE,IF(F123&lt;&gt;"","Fundador",""),IF(G123&lt;&gt;"","Anjo",""),IF(H123&lt;&gt;"","VC",""),IF(I123&lt;&gt;"","Gestão",""),IF(J123&lt;&gt;"","Conselho",""),IF(K123&lt;&gt;"","Buscapé","")))</f>
        <v/>
      </c>
      <c r="N123" t="inlineStr"/>
      <c r="O123" s="5" t="inlineStr"/>
      <c r="P123" t="inlineStr"/>
      <c r="Q123" t="inlineStr"/>
      <c r="R123" t="inlineStr">
        <is>
          <t>https://www.crunchbase.com/organization/contapaga</t>
        </is>
      </c>
      <c r="S123" t="inlineStr">
        <is>
          <t>moneto.png</t>
        </is>
      </c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s="5" t="inlineStr">
        <is>
          <t>2110</t>
        </is>
      </c>
      <c r="B124" s="5" t="inlineStr">
        <is>
          <t>x</t>
        </is>
      </c>
      <c r="C124" s="5" t="inlineStr"/>
      <c r="D124" t="inlineStr">
        <is>
          <t>OrderIn</t>
        </is>
      </c>
      <c r="E124" t="inlineStr"/>
      <c r="F124" s="5" t="inlineStr"/>
      <c r="G124" s="5" t="inlineStr">
        <is>
          <t>x</t>
        </is>
      </c>
      <c r="H124" s="5" t="inlineStr"/>
      <c r="I124" s="5" t="inlineStr"/>
      <c r="J124" s="5" t="inlineStr"/>
      <c r="K124" s="5" t="inlineStr"/>
      <c r="L124" t="inlineStr"/>
      <c r="M124" s="6">
        <f>IF(L124&lt;&gt;"",L124,_xlfn.TEXTJOIN(" · ",TRUE,IF(F124&lt;&gt;"","Fundador",""),IF(G124&lt;&gt;"","Anjo",""),IF(H124&lt;&gt;"","VC",""),IF(I124&lt;&gt;"","Gestão",""),IF(J124&lt;&gt;"","Conselho",""),IF(K124&lt;&gt;"","Buscapé","")))</f>
        <v/>
      </c>
      <c r="N124" t="inlineStr"/>
      <c r="O124" s="5" t="inlineStr"/>
      <c r="P124" t="inlineStr">
        <is>
          <t>Ativa</t>
        </is>
      </c>
      <c r="Q124" t="inlineStr"/>
      <c r="R124" t="inlineStr">
        <is>
          <t>https://www.crunchbase.com/organization/orderin</t>
        </is>
      </c>
      <c r="S124" t="inlineStr">
        <is>
          <t>orderin-2026.png</t>
        </is>
      </c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s="5" t="inlineStr">
        <is>
          <t>2120</t>
        </is>
      </c>
      <c r="B125" s="5" t="inlineStr">
        <is>
          <t>x</t>
        </is>
      </c>
      <c r="C125" s="5" t="inlineStr"/>
      <c r="D125" t="inlineStr">
        <is>
          <t>Scup</t>
        </is>
      </c>
      <c r="E125" t="inlineStr"/>
      <c r="F125" s="5" t="inlineStr"/>
      <c r="G125" s="5" t="inlineStr">
        <is>
          <t>x</t>
        </is>
      </c>
      <c r="H125" s="5" t="inlineStr"/>
      <c r="I125" s="5" t="inlineStr"/>
      <c r="J125" s="5" t="inlineStr"/>
      <c r="K125" s="5" t="inlineStr"/>
      <c r="L125" t="inlineStr"/>
      <c r="M125" s="6">
        <f>IF(L125&lt;&gt;"",L125,_xlfn.TEXTJOIN(" · ",TRUE,IF(F125&lt;&gt;"","Fundador",""),IF(G125&lt;&gt;"","Anjo",""),IF(H125&lt;&gt;"","VC",""),IF(I125&lt;&gt;"","Gestão",""),IF(J125&lt;&gt;"","Conselho",""),IF(K125&lt;&gt;"","Buscapé","")))</f>
        <v/>
      </c>
      <c r="N125" t="inlineStr"/>
      <c r="O125" s="5" t="inlineStr"/>
      <c r="P125" t="inlineStr"/>
      <c r="Q125" t="inlineStr"/>
      <c r="R125" t="inlineStr">
        <is>
          <t>https://www.crunchbase.com/organization/scup</t>
        </is>
      </c>
      <c r="S125" t="inlineStr">
        <is>
          <t>scup-2026.png</t>
        </is>
      </c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s="5" t="inlineStr">
        <is>
          <t>2130</t>
        </is>
      </c>
      <c r="B126" s="5" t="inlineStr">
        <is>
          <t>x</t>
        </is>
      </c>
      <c r="C126" s="5" t="inlineStr"/>
      <c r="D126" t="inlineStr">
        <is>
          <t>Shoes4you</t>
        </is>
      </c>
      <c r="E126" t="inlineStr"/>
      <c r="F126" s="5" t="inlineStr"/>
      <c r="G126" s="5" t="inlineStr">
        <is>
          <t>x</t>
        </is>
      </c>
      <c r="H126" s="5" t="inlineStr"/>
      <c r="I126" s="5" t="inlineStr"/>
      <c r="J126" s="5" t="inlineStr"/>
      <c r="K126" s="5" t="inlineStr"/>
      <c r="L126" t="inlineStr"/>
      <c r="M126" s="6">
        <f>IF(L126&lt;&gt;"",L126,_xlfn.TEXTJOIN(" · ",TRUE,IF(F126&lt;&gt;"","Fundador",""),IF(G126&lt;&gt;"","Anjo",""),IF(H126&lt;&gt;"","VC",""),IF(I126&lt;&gt;"","Gestão",""),IF(J126&lt;&gt;"","Conselho",""),IF(K126&lt;&gt;"","Buscapé","")))</f>
        <v/>
      </c>
      <c r="N126" t="inlineStr"/>
      <c r="O126" s="5" t="inlineStr"/>
      <c r="P126" t="inlineStr"/>
      <c r="Q126" t="inlineStr">
        <is>
          <t>https://shoes4you.com.br/</t>
        </is>
      </c>
      <c r="R126" t="inlineStr">
        <is>
          <t>https://www.crunchbase.com/organization/shoes4you</t>
        </is>
      </c>
      <c r="S126" t="inlineStr">
        <is>
          <t>shoes4you.png</t>
        </is>
      </c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s="5" t="inlineStr">
        <is>
          <t>2140</t>
        </is>
      </c>
      <c r="B127" s="5" t="inlineStr">
        <is>
          <t>x</t>
        </is>
      </c>
      <c r="C127" s="5" t="inlineStr"/>
      <c r="D127" t="inlineStr">
        <is>
          <t>Siga Seu Time</t>
        </is>
      </c>
      <c r="E127" t="inlineStr"/>
      <c r="F127" s="5" t="inlineStr"/>
      <c r="G127" s="5" t="inlineStr">
        <is>
          <t>x</t>
        </is>
      </c>
      <c r="H127" s="5" t="inlineStr"/>
      <c r="I127" s="5" t="inlineStr"/>
      <c r="J127" s="5" t="inlineStr"/>
      <c r="K127" s="5" t="inlineStr"/>
      <c r="L127" t="inlineStr"/>
      <c r="M127" s="6">
        <f>IF(L127&lt;&gt;"",L127,_xlfn.TEXTJOIN(" · ",TRUE,IF(F127&lt;&gt;"","Fundador",""),IF(G127&lt;&gt;"","Anjo",""),IF(H127&lt;&gt;"","VC",""),IF(I127&lt;&gt;"","Gestão",""),IF(J127&lt;&gt;"","Conselho",""),IF(K127&lt;&gt;"","Buscapé","")))</f>
        <v/>
      </c>
      <c r="N127" t="inlineStr"/>
      <c r="O127" s="5" t="inlineStr"/>
      <c r="P127" t="inlineStr"/>
      <c r="Q127" t="inlineStr"/>
      <c r="R127" t="inlineStr">
        <is>
          <t>https://www.crunchbase.com/organization/sigaseutime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s="5" t="inlineStr">
        <is>
          <t>2150</t>
        </is>
      </c>
      <c r="B128" s="5" t="inlineStr">
        <is>
          <t>x</t>
        </is>
      </c>
      <c r="C128" s="5" t="inlineStr"/>
      <c r="D128" t="inlineStr">
        <is>
          <t>youHotel</t>
        </is>
      </c>
      <c r="E128" t="inlineStr"/>
      <c r="F128" s="5" t="inlineStr"/>
      <c r="G128" s="5" t="inlineStr">
        <is>
          <t>x</t>
        </is>
      </c>
      <c r="H128" s="5" t="inlineStr"/>
      <c r="I128" s="5" t="inlineStr"/>
      <c r="J128" s="5" t="inlineStr"/>
      <c r="K128" s="5" t="inlineStr"/>
      <c r="L128" t="inlineStr"/>
      <c r="M128" s="6">
        <f>IF(L128&lt;&gt;"",L128,_xlfn.TEXTJOIN(" · ",TRUE,IF(F128&lt;&gt;"","Fundador",""),IF(G128&lt;&gt;"","Anjo",""),IF(H128&lt;&gt;"","VC",""),IF(I128&lt;&gt;"","Gestão",""),IF(J128&lt;&gt;"","Conselho",""),IF(K128&lt;&gt;"","Buscapé","")))</f>
        <v/>
      </c>
      <c r="N128" t="inlineStr"/>
      <c r="O128" s="5" t="inlineStr"/>
      <c r="P128" t="inlineStr"/>
      <c r="Q128" t="inlineStr"/>
      <c r="R128" t="inlineStr">
        <is>
          <t>https://www.crunchbase.com/organization/youhotel</t>
        </is>
      </c>
      <c r="S128" t="inlineStr">
        <is>
          <t>youhotel.png</t>
        </is>
      </c>
      <c r="T128" t="inlineStr"/>
      <c r="U128" t="inlineStr"/>
      <c r="V128" t="inlineStr"/>
      <c r="W128" t="inlineStr"/>
      <c r="X128" t="inlineStr"/>
      <c r="Y128" t="inlineStr"/>
      <c r="Z128" t="inlineStr"/>
    </row>
  </sheetData>
  <autoFilter ref="A1:Z128"/>
  <dataValidations count="2">
    <dataValidation sqref="B2:B2000 F2:F2000 G2:G2000 H2:H2000 I2:I2000 J2:J2000 K2:K2000" showDropDown="0" showInputMessage="0" showErrorMessage="0" allowBlank="1" errorTitle="Valor inválido" error="Use x para marcar ou deixe vazio." type="list">
      <formula1>"x"</formula1>
    </dataValidation>
    <dataValidation sqref="P2:P2000" showDropDown="0" showInputMessage="0" showErrorMessage="0" allowBlank="1" type="list">
      <formula1>=Listas!$A$2:$A$7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Status sugeridos</t>
        </is>
      </c>
    </row>
    <row r="2">
      <c r="A2" t="inlineStr">
        <is>
          <t>Ativa</t>
        </is>
      </c>
    </row>
    <row r="3">
      <c r="A3" t="inlineStr">
        <is>
          <t>Saída</t>
        </is>
      </c>
    </row>
    <row r="4">
      <c r="A4" t="inlineStr">
        <is>
          <t>Encerrada</t>
        </is>
      </c>
    </row>
    <row r="5">
      <c r="A5" t="inlineStr">
        <is>
          <t>Adquirida</t>
        </is>
      </c>
    </row>
    <row r="6">
      <c r="A6" t="inlineStr">
        <is>
          <t>Listada na B3</t>
        </is>
      </c>
    </row>
    <row r="7">
      <c r="A7" t="inlineStr">
        <is>
          <t>Listada na NYSE</t>
        </is>
      </c>
    </row>
    <row r="9">
      <c r="A9" t="inlineStr">
        <is>
          <t>Relação</t>
        </is>
      </c>
      <c r="B9" t="inlineStr">
        <is>
          <t>Código no site</t>
        </is>
      </c>
      <c r="C9" t="inlineStr">
        <is>
          <t>Botão de filtro</t>
        </is>
      </c>
      <c r="D9" t="inlineStr">
        <is>
          <t>Rótulo automático</t>
        </is>
      </c>
    </row>
    <row r="10">
      <c r="A10" t="inlineStr">
        <is>
          <t>Fundação</t>
        </is>
      </c>
      <c r="B10" t="inlineStr">
        <is>
          <t>fund</t>
        </is>
      </c>
      <c r="C10" t="inlineStr">
        <is>
          <t>Fundação</t>
        </is>
      </c>
      <c r="D10" t="inlineStr">
        <is>
          <t>Fundador</t>
        </is>
      </c>
    </row>
    <row r="11">
      <c r="A11" t="inlineStr">
        <is>
          <t>Anjo</t>
        </is>
      </c>
      <c r="B11" t="inlineStr">
        <is>
          <t>anjo</t>
        </is>
      </c>
      <c r="C11" t="inlineStr">
        <is>
          <t>Anjo</t>
        </is>
      </c>
      <c r="D11" t="inlineStr">
        <is>
          <t>Anjo</t>
        </is>
      </c>
    </row>
    <row r="12">
      <c r="A12" t="inlineStr">
        <is>
          <t>VC</t>
        </is>
      </c>
      <c r="B12" t="inlineStr">
        <is>
          <t>vc</t>
        </is>
      </c>
      <c r="C12" t="inlineStr">
        <is>
          <t>Venture capital</t>
        </is>
      </c>
      <c r="D12" t="inlineStr">
        <is>
          <t>VC</t>
        </is>
      </c>
    </row>
    <row r="13">
      <c r="A13" t="inlineStr">
        <is>
          <t>Gestão</t>
        </is>
      </c>
      <c r="B13" t="inlineStr">
        <is>
          <t>gestao</t>
        </is>
      </c>
      <c r="C13" t="inlineStr">
        <is>
          <t>Gestão</t>
        </is>
      </c>
      <c r="D13" t="inlineStr">
        <is>
          <t>Gestão</t>
        </is>
      </c>
    </row>
    <row r="14">
      <c r="A14" t="inlineStr">
        <is>
          <t>Conselho</t>
        </is>
      </c>
      <c r="B14" t="inlineStr">
        <is>
          <t>conselho</t>
        </is>
      </c>
      <c r="C14" t="inlineStr">
        <is>
          <t>Conselhos</t>
        </is>
      </c>
      <c r="D14" t="inlineStr">
        <is>
          <t>Conselho</t>
        </is>
      </c>
    </row>
    <row r="15">
      <c r="A15" t="inlineStr">
        <is>
          <t>Buscapé</t>
        </is>
      </c>
      <c r="B15" t="inlineStr">
        <is>
          <t>corp</t>
        </is>
      </c>
      <c r="C15" t="inlineStr">
        <is>
          <t>Buscapé</t>
        </is>
      </c>
      <c r="D15" t="inlineStr">
        <is>
          <t>Buscapé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2026-09-28T20:23:54Z</dcterms:created>
  <dcterms:modified xmlns:dcterms="http://purl.org/dc/terms/" xmlns:xsi="http://www.w3.org/2001/XMLSchema-instance" xsi:type="dcterms:W3CDTF">2026-09-28T20:23:54Z</dcterms:modified>
</cp:coreProperties>
</file>